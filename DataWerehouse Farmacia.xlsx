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Hechos y Dimensiones" sheetId="1" state="visible" r:id="rId3"/>
    <sheet name="2. Actividades y Estimación" sheetId="2" state="visible" r:id="rId4"/>
    <sheet name="3. Cronograma" sheetId="3" state="visible" r:id="rId5"/>
    <sheet name="4. BD Transaccional y Stage" sheetId="4" state="visible" r:id="rId6"/>
    <sheet name="5. Recursos y Tiempo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<sst xmlns="http://schemas.openxmlformats.org/spreadsheetml/2006/main" count="462" uniqueCount="335">
  <si>
    <t xml:space="preserve">📊  DATA WAREHOUSE – DEFINICIÓN DE HECHOS Y DIMENSIONES</t>
  </si>
  <si>
    <t xml:space="preserve">Sistema: App Web Gestión de Inventario y Ventas – Farmacia  |  Metodología: XP</t>
  </si>
  <si>
    <t xml:space="preserve">TABLAS DE HECHOS (FACT TABLES)</t>
  </si>
  <si>
    <t xml:space="preserve">#</t>
  </si>
  <si>
    <t xml:space="preserve">Tabla de Hechos</t>
  </si>
  <si>
    <t xml:space="preserve">Descripción</t>
  </si>
  <si>
    <t xml:space="preserve">Métricas Clave (Measures)</t>
  </si>
  <si>
    <t xml:space="preserve">Granularidad</t>
  </si>
  <si>
    <t xml:space="preserve">Fuente Transaccional</t>
  </si>
  <si>
    <t xml:space="preserve">FACT_VENTAS</t>
  </si>
  <si>
    <t xml:space="preserve">Registra cada transacción de venta realizada en la farmacia</t>
  </si>
  <si>
    <t xml:space="preserve">monto_total, cantidad_vendida, descuento, impuesto, utilidad_bruta</t>
  </si>
  <si>
    <t xml:space="preserve">1 fila por línea de producto por venta</t>
  </si>
  <si>
    <t xml:space="preserve">tabla Ventas / DetalleVenta</t>
  </si>
  <si>
    <t xml:space="preserve">FACT_INVENTARIO</t>
  </si>
  <si>
    <t xml:space="preserve">Captura el estado del inventario por medicamento y fecha</t>
  </si>
  <si>
    <t xml:space="preserve">stock_actual, stock_minimo, stock_maximo, unidades_ingresadas, unidades_salidas</t>
  </si>
  <si>
    <t xml:space="preserve">1 fila por medicamento por día</t>
  </si>
  <si>
    <t xml:space="preserve">tabla Inventario / Medicamento</t>
  </si>
  <si>
    <t xml:space="preserve">FACT_PEDIDOS</t>
  </si>
  <si>
    <t xml:space="preserve">Registra pedidos realizados a proveedores</t>
  </si>
  <si>
    <t xml:space="preserve">cantidad_pedida, costo_unitario, monto_pedido, dias_entrega</t>
  </si>
  <si>
    <t xml:space="preserve">1 fila por línea de pedido</t>
  </si>
  <si>
    <t xml:space="preserve">tabla Pedido / DetallePedido</t>
  </si>
  <si>
    <t xml:space="preserve">FACT_CLIENTES</t>
  </si>
  <si>
    <t xml:space="preserve">Analiza el comportamiento de compra por cliente</t>
  </si>
  <si>
    <t xml:space="preserve">total_compras, frecuencia_visitas, ticket_promedio, puntos_acumulados</t>
  </si>
  <si>
    <t xml:space="preserve">1 fila por cliente por período</t>
  </si>
  <si>
    <t xml:space="preserve">tabla Cliente / Venta</t>
  </si>
  <si>
    <t xml:space="preserve">FACT_ALERTAS_STOCK</t>
  </si>
  <si>
    <t xml:space="preserve">Registra eventos de stock bajo o quiebre de inventario</t>
  </si>
  <si>
    <t xml:space="preserve">dias_sin_stock, unidades_faltantes, ventas_perdidas_estimadas</t>
  </si>
  <si>
    <t xml:space="preserve">1 fila por medicamento por evento</t>
  </si>
  <si>
    <t xml:space="preserve">tabla Inventario / Alerta</t>
  </si>
  <si>
    <t xml:space="preserve">TABLAS DE DIMENSIONES (DIMENSION TABLES)</t>
  </si>
  <si>
    <t xml:space="preserve">Dimensión</t>
  </si>
  <si>
    <t xml:space="preserve">Atributos Clave</t>
  </si>
  <si>
    <t xml:space="preserve">Tipo SCD</t>
  </si>
  <si>
    <t xml:space="preserve">Tabla Origen</t>
  </si>
  <si>
    <t xml:space="preserve">DIM_TIEMPO</t>
  </si>
  <si>
    <t xml:space="preserve">Dimensión temporal para análisis por fecha</t>
  </si>
  <si>
    <t xml:space="preserve">fecha, dia, semana, mes, trimestre, anio, dia_semana, es_fin_semana, es_feriado</t>
  </si>
  <si>
    <t xml:space="preserve">Tipo 1 (SCD1)</t>
  </si>
  <si>
    <t xml:space="preserve">Generada automáticamente</t>
  </si>
  <si>
    <t xml:space="preserve">DIM_MEDICAMENTO</t>
  </si>
  <si>
    <t xml:space="preserve">Catálogo completo de medicamentos</t>
  </si>
  <si>
    <t xml:space="preserve">id_medicamento, nombre, descripcion, laboratorio, categoria, principio_activo, presentacion, requiere_receta</t>
  </si>
  <si>
    <t xml:space="preserve">Tipo 2 (SCD2)</t>
  </si>
  <si>
    <t xml:space="preserve">tabla Medicamento</t>
  </si>
  <si>
    <t xml:space="preserve">DIM_CLIENTE</t>
  </si>
  <si>
    <t xml:space="preserve">Información de los clientes de la farmacia</t>
  </si>
  <si>
    <t xml:space="preserve">id_cliente, nombre, apellido, dpi, telefono, email, fecha_registro, tipo_cliente</t>
  </si>
  <si>
    <t xml:space="preserve">tabla Cliente</t>
  </si>
  <si>
    <t xml:space="preserve">DIM_USUARIO</t>
  </si>
  <si>
    <t xml:space="preserve">Usuarios del sistema y sus roles</t>
  </si>
  <si>
    <t xml:space="preserve">id_usuario, nombre, apellido, rol, estado, fecha_ingreso</t>
  </si>
  <si>
    <t xml:space="preserve">tabla Usuario / Rol</t>
  </si>
  <si>
    <t xml:space="preserve">DIM_PROVEEDOR</t>
  </si>
  <si>
    <t xml:space="preserve">Proveedores de medicamentos</t>
  </si>
  <si>
    <t xml:space="preserve">id_proveedor, nombre, contacto, telefono, email, pais, tiempo_entrega_promedio</t>
  </si>
  <si>
    <t xml:space="preserve">tabla Proveedor</t>
  </si>
  <si>
    <t xml:space="preserve">DIM_CATEGORIA</t>
  </si>
  <si>
    <t xml:space="preserve">Clasificación terapéutica de medicamentos</t>
  </si>
  <si>
    <t xml:space="preserve">id_categoria, nombre_categoria, descripcion, requiere_control_especial</t>
  </si>
  <si>
    <t xml:space="preserve">tabla Categoria</t>
  </si>
  <si>
    <t xml:space="preserve">DIM_SUCURSAL</t>
  </si>
  <si>
    <t xml:space="preserve">Sucursal o punto de venta (escalabilidad)</t>
  </si>
  <si>
    <t xml:space="preserve">id_sucursal, nombre, direccion, telefono, encargado, estado</t>
  </si>
  <si>
    <t xml:space="preserve">tabla Sucursal (futura)</t>
  </si>
  <si>
    <t xml:space="preserve">📋  SECUENCIA DE ACTIVIDADES – DATA WAREHOUSE  |  App Farmacia</t>
  </si>
  <si>
    <t xml:space="preserve">Estimación de duración basada en equipo de 3 personas (1 Líder DW, 1 Ing. ETL, 1 DBA)</t>
  </si>
  <si>
    <t xml:space="preserve">PLAN DE ACTIVIDADES – CONSTRUCCIÓN DEL DATA WAREHOUSE</t>
  </si>
  <si>
    <t xml:space="preserve">Fase</t>
  </si>
  <si>
    <t xml:space="preserve">Actividad</t>
  </si>
  <si>
    <t xml:space="preserve">Responsable</t>
  </si>
  <si>
    <t xml:space="preserve">Días
Estimados</t>
  </si>
  <si>
    <t xml:space="preserve">Días
Reales</t>
  </si>
  <si>
    <t xml:space="preserve">% Avance</t>
  </si>
  <si>
    <t xml:space="preserve">Dependencia</t>
  </si>
  <si>
    <t xml:space="preserve">Entregable</t>
  </si>
  <si>
    <t xml:space="preserve">F1 – Análisis</t>
  </si>
  <si>
    <t xml:space="preserve">Análisis de requerimientos DW</t>
  </si>
  <si>
    <t xml:space="preserve">Líder DW</t>
  </si>
  <si>
    <t xml:space="preserve">—</t>
  </si>
  <si>
    <t xml:space="preserve">Documento de requerimientos</t>
  </si>
  <si>
    <t xml:space="preserve">Revisión del modelo transaccional</t>
  </si>
  <si>
    <t xml:space="preserve">DBA</t>
  </si>
  <si>
    <t xml:space="preserve">F1.1</t>
  </si>
  <si>
    <t xml:space="preserve">Inventario de fuentes</t>
  </si>
  <si>
    <t xml:space="preserve">Definición de KPIs y métricas</t>
  </si>
  <si>
    <t xml:space="preserve">Catálogo de KPIs</t>
  </si>
  <si>
    <t xml:space="preserve">F2 – Diseño</t>
  </si>
  <si>
    <t xml:space="preserve">Modelado dimensional (estrella/copo)</t>
  </si>
  <si>
    <t xml:space="preserve">F1.3</t>
  </si>
  <si>
    <t xml:space="preserve">Diagrama ER dimensional</t>
  </si>
  <si>
    <t xml:space="preserve">Definición de tablas FACT y DIM</t>
  </si>
  <si>
    <t xml:space="preserve">F2.1</t>
  </si>
  <si>
    <t xml:space="preserve">Modelo lógico DW</t>
  </si>
  <si>
    <t xml:space="preserve">Diseño base de datos Stage</t>
  </si>
  <si>
    <t xml:space="preserve">F2.2</t>
  </si>
  <si>
    <t xml:space="preserve">DDL Stage DB</t>
  </si>
  <si>
    <t xml:space="preserve">Diseño base de datos DW</t>
  </si>
  <si>
    <t xml:space="preserve">F2.3</t>
  </si>
  <si>
    <t xml:space="preserve">DDL DW DB</t>
  </si>
  <si>
    <t xml:space="preserve">F3 – Desarrollo</t>
  </si>
  <si>
    <t xml:space="preserve">Creación del schema Stage (SQL)</t>
  </si>
  <si>
    <t xml:space="preserve">F2.4</t>
  </si>
  <si>
    <t xml:space="preserve">Scripts DDL Stage</t>
  </si>
  <si>
    <t xml:space="preserve">Creación del schema DW (SQL)</t>
  </si>
  <si>
    <t xml:space="preserve">F3.1</t>
  </si>
  <si>
    <t xml:space="preserve">Scripts DDL DW</t>
  </si>
  <si>
    <t xml:space="preserve">ETL: Extracción desde OLTP</t>
  </si>
  <si>
    <t xml:space="preserve">Ing. ETL</t>
  </si>
  <si>
    <t xml:space="preserve">F3.2</t>
  </si>
  <si>
    <t xml:space="preserve">Jobs de extracción</t>
  </si>
  <si>
    <t xml:space="preserve">ETL: Transformación y limpieza</t>
  </si>
  <si>
    <t xml:space="preserve">F3.3</t>
  </si>
  <si>
    <t xml:space="preserve">Jobs de transformación</t>
  </si>
  <si>
    <t xml:space="preserve">ETL: Carga a DW (dimensiones)</t>
  </si>
  <si>
    <t xml:space="preserve">F3.4</t>
  </si>
  <si>
    <t xml:space="preserve">Jobs de carga DIM</t>
  </si>
  <si>
    <t xml:space="preserve">ETL: Carga a DW (hechos)</t>
  </si>
  <si>
    <t xml:space="preserve">F3.5</t>
  </si>
  <si>
    <t xml:space="preserve">Jobs de carga FACT</t>
  </si>
  <si>
    <t xml:space="preserve">Orquestación y scheduling ETL</t>
  </si>
  <si>
    <t xml:space="preserve">F3.6</t>
  </si>
  <si>
    <t xml:space="preserve">Pipeline automatizado</t>
  </si>
  <si>
    <t xml:space="preserve">F4 – Pruebas</t>
  </si>
  <si>
    <t xml:space="preserve">Validación de datos Stage vs OLTP</t>
  </si>
  <si>
    <t xml:space="preserve">F3.7</t>
  </si>
  <si>
    <t xml:space="preserve">Reporte de calidad Stage</t>
  </si>
  <si>
    <t xml:space="preserve">Validación de datos DW vs Stage</t>
  </si>
  <si>
    <t xml:space="preserve">F4.1</t>
  </si>
  <si>
    <t xml:space="preserve">Reporte de calidad DW</t>
  </si>
  <si>
    <t xml:space="preserve">Pruebas de performance y carga</t>
  </si>
  <si>
    <t xml:space="preserve">F4.2</t>
  </si>
  <si>
    <t xml:space="preserve">Informe de rendimiento</t>
  </si>
  <si>
    <t xml:space="preserve">UAT con usuario final</t>
  </si>
  <si>
    <t xml:space="preserve">F4.3</t>
  </si>
  <si>
    <t xml:space="preserve">Acta de aceptación</t>
  </si>
  <si>
    <t xml:space="preserve">F5 – Despliegue</t>
  </si>
  <si>
    <t xml:space="preserve">Documentación técnica DW</t>
  </si>
  <si>
    <t xml:space="preserve">F4.4</t>
  </si>
  <si>
    <t xml:space="preserve">Manual técnico</t>
  </si>
  <si>
    <t xml:space="preserve">Capacitación al equipo</t>
  </si>
  <si>
    <t xml:space="preserve">F5.1</t>
  </si>
  <si>
    <t xml:space="preserve">Material de capacitación</t>
  </si>
  <si>
    <t xml:space="preserve">Puesta en producción</t>
  </si>
  <si>
    <t xml:space="preserve">Todos</t>
  </si>
  <si>
    <t xml:space="preserve">F5.2</t>
  </si>
  <si>
    <t xml:space="preserve">DW en producción</t>
  </si>
  <si>
    <t xml:space="preserve">TOTAL DÍAS ESTIMADOS</t>
  </si>
  <si>
    <t xml:space="preserve">📅  CRONOGRAMA DE PROYECTO – DATA WAREHOUSE FARMACIA</t>
  </si>
  <si>
    <t xml:space="preserve">Duración total estimada: 10 semanas  |  Inicio sugerido: Semana 1  |  Fin estimado: Semana 10</t>
  </si>
  <si>
    <t xml:space="preserve">Días</t>
  </si>
  <si>
    <t xml:space="preserve">Sem
Inicio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</si>
  <si>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</si>
  <si>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</si>
  <si>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</si>
  <si>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</si>
  <si>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</si>
  <si>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</si>
  <si>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</si>
  <si>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</si>
  <si>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S9</t>
  </si>
  <si>
    <t xml:space="preserve">S10</t>
  </si>
  <si>
    <t xml:space="preserve">▓</t>
  </si>
  <si>
    <t xml:space="preserve">Modelado dimensional (estrella)</t>
  </si>
  <si>
    <t xml:space="preserve">Validación Stage vs OLTP</t>
  </si>
  <si>
    <t xml:space="preserve">Validación DW vs Stage</t>
  </si>
  <si>
    <t xml:space="preserve">Pruebas de performance</t>
  </si>
  <si>
    <t xml:space="preserve">Documentación técnica</t>
  </si>
  <si>
    <t xml:space="preserve">Capacitación y puesta en producción</t>
  </si>
  <si>
    <t xml:space="preserve">🗃️  BASE DE DATOS TRANSACCIONAL (OLTP) Y CAPA STAGE – DATA WAREHOUSE</t>
  </si>
  <si>
    <t xml:space="preserve">La BD Transaccional (OLTP) almacena las operaciones diarias. La capa Stage es área temporal de preparación para el DW.</t>
  </si>
  <si>
    <t xml:space="preserve">SECCIÓN A: BASE DE DATOS TRANSACCIONAL (OLTP) – Farmacia DB</t>
  </si>
  <si>
    <t xml:space="preserve">Tabla OLTP</t>
  </si>
  <si>
    <t xml:space="preserve">Campos Principales</t>
  </si>
  <si>
    <t xml:space="preserve">Tipo Campo</t>
  </si>
  <si>
    <t xml:space="preserve">PK/FK</t>
  </si>
  <si>
    <t xml:space="preserve">Relaciones</t>
  </si>
  <si>
    <t xml:space="preserve">Medicamento</t>
  </si>
  <si>
    <t xml:space="preserve">id_medicamento, nombre, descripcion, precio_venta, precio_costo, requiere_receta, activo</t>
  </si>
  <si>
    <t xml:space="preserve">INT, VARCHAR, DECIMAL, BOOL</t>
  </si>
  <si>
    <t xml:space="preserve">PK: id_medicamento</t>
  </si>
  <si>
    <t xml:space="preserve">Catálogo maestro de medicamentos</t>
  </si>
  <si>
    <t xml:space="preserve">→ Inventario, → DetalleVenta, → DetallePedido</t>
  </si>
  <si>
    <t xml:space="preserve">Inventario</t>
  </si>
  <si>
    <t xml:space="preserve">id_inventario, id_medicamento, stock_actual, stock_minimo, stock_maximo, fecha_actualizacion</t>
  </si>
  <si>
    <t xml:space="preserve">INT, DECIMAL, DATETIME</t>
  </si>
  <si>
    <t xml:space="preserve">PK: id_inventario  FK: id_medicamento</t>
  </si>
  <si>
    <t xml:space="preserve">Control de existencias en tiempo real</t>
  </si>
  <si>
    <t xml:space="preserve">← Medicamento</t>
  </si>
  <si>
    <t xml:space="preserve">Cliente</t>
  </si>
  <si>
    <t xml:space="preserve">id_cliente, nombre, apellido, dpi, telefono, email, fecha_registro</t>
  </si>
  <si>
    <t xml:space="preserve">INT, VARCHAR, DATE</t>
  </si>
  <si>
    <t xml:space="preserve">PK: id_cliente</t>
  </si>
  <si>
    <t xml:space="preserve">Datos de los clientes</t>
  </si>
  <si>
    <t xml:space="preserve">→ Venta</t>
  </si>
  <si>
    <t xml:space="preserve">Venta</t>
  </si>
  <si>
    <t xml:space="preserve">id_venta, id_cliente, id_usuario, fecha_venta, total, descuento, estado</t>
  </si>
  <si>
    <t xml:space="preserve">INT, DECIMAL, DATETIME, VARCHAR</t>
  </si>
  <si>
    <t xml:space="preserve">PK: id_venta  FK: id_cliente, id_usuario</t>
  </si>
  <si>
    <t xml:space="preserve">Cabecera de cada transacción de venta</t>
  </si>
  <si>
    <t xml:space="preserve">← Cliente, ← Usuario, → DetalleVenta</t>
  </si>
  <si>
    <t xml:space="preserve">DetalleVenta</t>
  </si>
  <si>
    <t xml:space="preserve">id_detalle, id_venta, id_medicamento, cantidad, precio_unitario, subtotal</t>
  </si>
  <si>
    <t xml:space="preserve">INT, DECIMAL</t>
  </si>
  <si>
    <t xml:space="preserve">PK: id_detalle  FK: id_venta, id_medicamento</t>
  </si>
  <si>
    <t xml:space="preserve">Líneas de producto por venta</t>
  </si>
  <si>
    <t xml:space="preserve">← Venta, ← Medicamento</t>
  </si>
  <si>
    <t xml:space="preserve">Usuario</t>
  </si>
  <si>
    <t xml:space="preserve">id_usuario, nombre, apellido, username, password_hash, id_rol, activo, fecha_creacion</t>
  </si>
  <si>
    <t xml:space="preserve">INT, VARCHAR, BOOL, DATE</t>
  </si>
  <si>
    <t xml:space="preserve">PK: id_usuario  FK: id_rol</t>
  </si>
  <si>
    <t xml:space="preserve">Usuarios del sistema</t>
  </si>
  <si>
    <t xml:space="preserve">← Rol, → Venta</t>
  </si>
  <si>
    <t xml:space="preserve">Rol</t>
  </si>
  <si>
    <t xml:space="preserve">id_rol, nombre_rol, descripcion, permisos</t>
  </si>
  <si>
    <t xml:space="preserve">INT, VARCHAR, TEXT</t>
  </si>
  <si>
    <t xml:space="preserve">PK: id_rol</t>
  </si>
  <si>
    <t xml:space="preserve">Roles y permisos del sistema</t>
  </si>
  <si>
    <t xml:space="preserve">→ Usuario</t>
  </si>
  <si>
    <t xml:space="preserve">Proveedor</t>
  </si>
  <si>
    <t xml:space="preserve">id_proveedor, nombre, contacto, telefono, email, direccion, activo</t>
  </si>
  <si>
    <t xml:space="preserve">INT, VARCHAR, BOOL</t>
  </si>
  <si>
    <t xml:space="preserve">PK: id_proveedor</t>
  </si>
  <si>
    <t xml:space="preserve">→ Pedido</t>
  </si>
  <si>
    <t xml:space="preserve">Pedido</t>
  </si>
  <si>
    <t xml:space="preserve">id_pedido, id_proveedor, id_usuario, fecha_pedido, fecha_entrega, estado, total</t>
  </si>
  <si>
    <t xml:space="preserve">INT, DATE, VARCHAR, DECIMAL</t>
  </si>
  <si>
    <t xml:space="preserve">PK: id_pedido  FK: id_proveedor, id_usuario</t>
  </si>
  <si>
    <t xml:space="preserve">Órdenes de compra a proveedores</t>
  </si>
  <si>
    <t xml:space="preserve">← Proveedor, → DetallePedido</t>
  </si>
  <si>
    <t xml:space="preserve">DetallePedido</t>
  </si>
  <si>
    <t xml:space="preserve">id_detalle_pedido, id_pedido, id_medicamento, cantidad, precio_unitario</t>
  </si>
  <si>
    <t xml:space="preserve">PK: id_detalle_pedido  FK: id_pedido, id_medicamento</t>
  </si>
  <si>
    <t xml:space="preserve">Líneas de producto por pedido</t>
  </si>
  <si>
    <t xml:space="preserve">← Pedido, ← Medicamento</t>
  </si>
  <si>
    <t xml:space="preserve">SECCIÓN B: CAPA STAGE (ÁREA DE PREPARACIÓN ETL) – Stage DB</t>
  </si>
  <si>
    <t xml:space="preserve">Tabla Stage</t>
  </si>
  <si>
    <t xml:space="preserve">Columnas Principales</t>
  </si>
  <si>
    <t xml:space="preserve">Tipo</t>
  </si>
  <si>
    <t xml:space="preserve">Origen OLTP</t>
  </si>
  <si>
    <t xml:space="preserve">Transformaciones</t>
  </si>
  <si>
    <t xml:space="preserve">Frecuencia Carga</t>
  </si>
  <si>
    <t xml:space="preserve">STG_MEDICAMENTO</t>
  </si>
  <si>
    <t xml:space="preserve">id_medicamento, nombre, precio_venta, precio_costo, requiere_receta, fecha_carga, flag_nuevo</t>
  </si>
  <si>
    <t xml:space="preserve">Réplica + metadata</t>
  </si>
  <si>
    <t xml:space="preserve">Trim espacios, normalizar mayúsculas, validar precios &gt; 0</t>
  </si>
  <si>
    <t xml:space="preserve">Diaria</t>
  </si>
  <si>
    <t xml:space="preserve">STG_INVENTARIO</t>
  </si>
  <si>
    <t xml:space="preserve">id_medicamento, stock_actual, stock_minimo, fecha_actualizacion, fecha_carga, flag_alerta</t>
  </si>
  <si>
    <t xml:space="preserve">Réplica + flag</t>
  </si>
  <si>
    <t xml:space="preserve">Calcular flag_alerta si stock &lt; stock_minimo</t>
  </si>
  <si>
    <t xml:space="preserve">Cada hora</t>
  </si>
  <si>
    <t xml:space="preserve">STG_CLIENTE</t>
  </si>
  <si>
    <t xml:space="preserve">id_cliente, nombre, apellido, email, telefono, fecha_registro, fecha_carga, hash_registro</t>
  </si>
  <si>
    <t xml:space="preserve">Réplica + hash</t>
  </si>
  <si>
    <t xml:space="preserve">Normalizar nombre/apellido, validar email, generar hash para SCD2</t>
  </si>
  <si>
    <t xml:space="preserve">STG_VENTA</t>
  </si>
  <si>
    <t xml:space="preserve">id_venta, id_cliente, id_usuario, fecha_venta, total, estado, fecha_carga</t>
  </si>
  <si>
    <t xml:space="preserve">Filtrar solo ventas estado=COMPLETADA, formatear fechas</t>
  </si>
  <si>
    <t xml:space="preserve">Cada 15 min</t>
  </si>
  <si>
    <t xml:space="preserve">STG_DETALLE_VENTA</t>
  </si>
  <si>
    <t xml:space="preserve">id_detalle, id_venta, id_medicamento, cantidad, precio_unitario, subtotal, fecha_carga</t>
  </si>
  <si>
    <t xml:space="preserve">Réplica</t>
  </si>
  <si>
    <t xml:space="preserve">Recalcular subtotal, validar coherencia precio×cantidad</t>
  </si>
  <si>
    <t xml:space="preserve">STG_PEDIDO</t>
  </si>
  <si>
    <t xml:space="preserve">id_pedido, id_proveedor, fecha_pedido, fecha_entrega, estado, total, fecha_carga</t>
  </si>
  <si>
    <t xml:space="preserve">Calcular días_entrega = fecha_entrega - fecha_pedido</t>
  </si>
  <si>
    <t xml:space="preserve">STG_USUARIO</t>
  </si>
  <si>
    <t xml:space="preserve">id_usuario, nombre, apellido, id_rol, activo, fecha_carga</t>
  </si>
  <si>
    <t xml:space="preserve">Usuario / Rol</t>
  </si>
  <si>
    <t xml:space="preserve">Enmascarar password, validar roles activos</t>
  </si>
  <si>
    <t xml:space="preserve">STG_CONTROL_CARGA</t>
  </si>
  <si>
    <t xml:space="preserve">id_carga, tabla_origen, fecha_inicio, fecha_fin, registros_procesados, estado, errores</t>
  </si>
  <si>
    <t xml:space="preserve">Metadata ETL</t>
  </si>
  <si>
    <t xml:space="preserve">Log interno ETL</t>
  </si>
  <si>
    <t xml:space="preserve">Registro auditoría de cada proceso ETL</t>
  </si>
  <si>
    <t xml:space="preserve">Por ejecución</t>
  </si>
  <si>
    <t xml:space="preserve">👥  ESTIMACIÓN DE RECURSOS HUMANOS Y TIEMPO – DATA WAREHOUSE FARMACIA</t>
  </si>
  <si>
    <t xml:space="preserve">EQUIPO RECOMENDADO PARA EL DATA WAREHOUSE</t>
  </si>
  <si>
    <t xml:space="preserve">Rol / Perfil</t>
  </si>
  <si>
    <t xml:space="preserve">Responsabilidades Clave</t>
  </si>
  <si>
    <t xml:space="preserve">Cant.
Personas</t>
  </si>
  <si>
    <t xml:space="preserve">Dedicación
(%)</t>
  </si>
  <si>
    <t xml:space="preserve">Semanas
Asignadas</t>
  </si>
  <si>
    <t xml:space="preserve">Costo/Semana
(USD)</t>
  </si>
  <si>
    <t xml:space="preserve">Costo Total
(USD)</t>
  </si>
  <si>
    <t xml:space="preserve">Líder / Arquitecto DW</t>
  </si>
  <si>
    <t xml:space="preserve">Análisis, diseño dimensional, gestión del proyecto, UAT, documentación</t>
  </si>
  <si>
    <t xml:space="preserve">Ingeniero ETL</t>
  </si>
  <si>
    <t xml:space="preserve">Desarrollo de procesos ETL (extracción, transformación, carga), scheduling, pruebas</t>
  </si>
  <si>
    <t xml:space="preserve">DBA (Administrador BD)</t>
  </si>
  <si>
    <t xml:space="preserve">Diseño de schemas OLTP/Stage/DW, optimización, índices, seguridad, respaldos</t>
  </si>
  <si>
    <t xml:space="preserve">QA / Analista de Datos</t>
  </si>
  <si>
    <t xml:space="preserve">Validación de datos, pruebas de integridad, reconciliación OLTP vs DW</t>
  </si>
  <si>
    <t xml:space="preserve">Analista de Negocios (BI)</t>
  </si>
  <si>
    <t xml:space="preserve">Definición de KPIs, diseño de reportes, capacitación al usuario final</t>
  </si>
  <si>
    <t xml:space="preserve">DevOps / Infraestructura</t>
  </si>
  <si>
    <t xml:space="preserve">Configuración de servidores, CI/CD para ETL, monitoreo, ambientes</t>
  </si>
  <si>
    <t xml:space="preserve">TOTAL PERSONAS / COSTO ESTIMADO</t>
  </si>
  <si>
    <t xml:space="preserve">RESUMEN DE TIEMPO POR FASE</t>
  </si>
  <si>
    <t xml:space="preserve">Fase del Proyecto</t>
  </si>
  <si>
    <t xml:space="preserve">Actividades Incluidas</t>
  </si>
  <si>
    <t xml:space="preserve">Duración
(días)</t>
  </si>
  <si>
    <t xml:space="preserve">Semanas</t>
  </si>
  <si>
    <t xml:space="preserve">% del Total</t>
  </si>
  <si>
    <t xml:space="preserve">Equipo Involucrado</t>
  </si>
  <si>
    <t xml:space="preserve">Hito de Salida</t>
  </si>
  <si>
    <t xml:space="preserve">Requerimientos, revisión OLTP, KPIs</t>
  </si>
  <si>
    <t xml:space="preserve">1-2</t>
  </si>
  <si>
    <t xml:space="preserve">14%</t>
  </si>
  <si>
    <t xml:space="preserve">Líder DW, DBA</t>
  </si>
  <si>
    <t xml:space="preserve">Documento de análisis firmado</t>
  </si>
  <si>
    <t xml:space="preserve">Modelado dimensional, DDL Stage y DW</t>
  </si>
  <si>
    <t xml:space="preserve">2-3</t>
  </si>
  <si>
    <t xml:space="preserve">17%</t>
  </si>
  <si>
    <t xml:space="preserve">Modelos de datos aprobados</t>
  </si>
  <si>
    <t xml:space="preserve">ETL completo, schemas, orquestación</t>
  </si>
  <si>
    <t xml:space="preserve">4-7</t>
  </si>
  <si>
    <t xml:space="preserve">40%</t>
  </si>
  <si>
    <t xml:space="preserve">Ing. ETL, DBA</t>
  </si>
  <si>
    <t xml:space="preserve">Pipeline ETL en ambiente QA</t>
  </si>
  <si>
    <t xml:space="preserve">Validación datos, performance, UAT</t>
  </si>
  <si>
    <t xml:space="preserve">7-9</t>
  </si>
  <si>
    <t xml:space="preserve">19%</t>
  </si>
  <si>
    <t xml:space="preserve">Acta de aceptación UAT</t>
  </si>
  <si>
    <t xml:space="preserve">Documentación, capacitación, producción</t>
  </si>
  <si>
    <t xml:space="preserve">9-10</t>
  </si>
  <si>
    <t xml:space="preserve">10%</t>
  </si>
  <si>
    <t xml:space="preserve">Líder DW, Todos</t>
  </si>
  <si>
    <t xml:space="preserve">TOTAL  –  DURACIÓN ESTIMADA DEL PROYECTO DW</t>
  </si>
  <si>
    <t xml:space="preserve">10 semanas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</si>
</sst>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General"/>
    <numFmt numFmtId="167" formatCode="\$#,##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2E75B6"/>
      <name val="Arial"/>
      <family val="0"/>
      <charset val="1"/>
    </font>
    <font>
      <b val="true"/>
      <sz val="10"/>
      <color rgb="FFC55A11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2E75B6"/>
      <name val="Cambria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0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EEAF1"/>
        <bgColor rgb="FFE2EFDA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C55A11"/>
        <bgColor rgb="FF993300"/>
      </patternFill>
    </fill>
    <fill>
      <patternFill patternType="solid">
        <fgColor rgb="FFBDD7EE"/>
        <bgColor rgb="FFC5E0B4"/>
      </patternFill>
    </fill>
    <fill>
      <patternFill patternType="solid">
        <fgColor rgb="FFE2EFDA"/>
        <bgColor rgb="FFDEEAF1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C5E0B4"/>
        <bgColor rgb="FFBDD7EE"/>
      </patternFill>
    </fill>
    <fill>
      <patternFill patternType="solid">
        <fgColor rgb="FF375623"/>
        <bgColor rgb="FF59595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medium"/>
      <bottom style="medium"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1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1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C5E0B4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C55A1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28"/>
    <col collapsed="false" customWidth="true" hidden="false" outlineLevel="0" max="5" min="5" style="0" width="22"/>
    <col collapsed="false" customWidth="true" hidden="false" outlineLevel="0" max="6" min="6" style="0" width="3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21.75" hidden="false" customHeight="true" outlineLevel="0" collapsed="false">
      <c r="A4" s="3" t="s">
        <v>2</v>
      </c>
      <c r="B4" s="3"/>
      <c r="C4" s="3"/>
      <c r="D4" s="3"/>
      <c r="E4" s="3"/>
      <c r="F4" s="3"/>
    </row>
    <row r="5" customFormat="false" ht="19.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customFormat="false" ht="37.5" hidden="false" customHeight="true" outlineLevel="0" collapsed="false">
      <c r="A6" s="5" t="n">
        <v>1</v>
      </c>
      <c r="B6" s="6" t="s">
        <v>9</v>
      </c>
      <c r="C6" s="7" t="s">
        <v>10</v>
      </c>
      <c r="D6" s="7" t="s">
        <v>11</v>
      </c>
      <c r="E6" s="7" t="s">
        <v>12</v>
      </c>
      <c r="F6" s="7" t="s">
        <v>13</v>
      </c>
    </row>
    <row r="7" customFormat="false" ht="37.5" hidden="false" customHeight="true" outlineLevel="0" collapsed="false">
      <c r="A7" s="8" t="n">
        <v>2</v>
      </c>
      <c r="B7" s="9" t="s">
        <v>14</v>
      </c>
      <c r="C7" s="10" t="s">
        <v>15</v>
      </c>
      <c r="D7" s="10" t="s">
        <v>16</v>
      </c>
      <c r="E7" s="10" t="s">
        <v>17</v>
      </c>
      <c r="F7" s="10" t="s">
        <v>18</v>
      </c>
    </row>
    <row r="8" customFormat="false" ht="37.5" hidden="false" customHeight="true" outlineLevel="0" collapsed="false">
      <c r="A8" s="5" t="n">
        <v>3</v>
      </c>
      <c r="B8" s="6" t="s">
        <v>19</v>
      </c>
      <c r="C8" s="7" t="s">
        <v>20</v>
      </c>
      <c r="D8" s="7" t="s">
        <v>21</v>
      </c>
      <c r="E8" s="7" t="s">
        <v>22</v>
      </c>
      <c r="F8" s="7" t="s">
        <v>23</v>
      </c>
    </row>
    <row r="9" customFormat="false" ht="37.5" hidden="false" customHeight="true" outlineLevel="0" collapsed="false">
      <c r="A9" s="8" t="n">
        <v>4</v>
      </c>
      <c r="B9" s="9" t="s">
        <v>24</v>
      </c>
      <c r="C9" s="10" t="s">
        <v>25</v>
      </c>
      <c r="D9" s="10" t="s">
        <v>26</v>
      </c>
      <c r="E9" s="10" t="s">
        <v>27</v>
      </c>
      <c r="F9" s="10" t="s">
        <v>28</v>
      </c>
    </row>
    <row r="10" customFormat="false" ht="37.5" hidden="false" customHeight="true" outlineLevel="0" collapsed="false">
      <c r="A10" s="5" t="n">
        <v>5</v>
      </c>
      <c r="B10" s="6" t="s">
        <v>29</v>
      </c>
      <c r="C10" s="7" t="s">
        <v>30</v>
      </c>
      <c r="D10" s="7" t="s">
        <v>31</v>
      </c>
      <c r="E10" s="7" t="s">
        <v>32</v>
      </c>
      <c r="F10" s="7" t="s">
        <v>33</v>
      </c>
    </row>
    <row r="12" customFormat="false" ht="21.75" hidden="false" customHeight="true" outlineLevel="0" collapsed="false">
      <c r="A12" s="11" t="s">
        <v>34</v>
      </c>
      <c r="B12" s="11"/>
      <c r="C12" s="11"/>
      <c r="D12" s="11"/>
      <c r="E12" s="11"/>
      <c r="F12" s="11"/>
    </row>
    <row r="13" customFormat="false" ht="19.5" hidden="false" customHeight="true" outlineLevel="0" collapsed="false">
      <c r="A13" s="12" t="s">
        <v>3</v>
      </c>
      <c r="B13" s="12" t="s">
        <v>35</v>
      </c>
      <c r="C13" s="12" t="s">
        <v>5</v>
      </c>
      <c r="D13" s="12" t="s">
        <v>36</v>
      </c>
      <c r="E13" s="12" t="s">
        <v>37</v>
      </c>
      <c r="F13" s="12" t="s">
        <v>38</v>
      </c>
    </row>
    <row r="14" customFormat="false" ht="37.5" hidden="false" customHeight="true" outlineLevel="0" collapsed="false">
      <c r="A14" s="5" t="n">
        <v>1</v>
      </c>
      <c r="B14" s="13" t="s">
        <v>39</v>
      </c>
      <c r="C14" s="7" t="s">
        <v>40</v>
      </c>
      <c r="D14" s="7" t="s">
        <v>41</v>
      </c>
      <c r="E14" s="7" t="s">
        <v>42</v>
      </c>
      <c r="F14" s="7" t="s">
        <v>43</v>
      </c>
    </row>
    <row r="15" customFormat="false" ht="37.5" hidden="false" customHeight="true" outlineLevel="0" collapsed="false">
      <c r="A15" s="8" t="n">
        <v>2</v>
      </c>
      <c r="B15" s="14" t="s">
        <v>44</v>
      </c>
      <c r="C15" s="10" t="s">
        <v>45</v>
      </c>
      <c r="D15" s="10" t="s">
        <v>46</v>
      </c>
      <c r="E15" s="10" t="s">
        <v>47</v>
      </c>
      <c r="F15" s="10" t="s">
        <v>48</v>
      </c>
    </row>
    <row r="16" customFormat="false" ht="37.5" hidden="false" customHeight="true" outlineLevel="0" collapsed="false">
      <c r="A16" s="5" t="n">
        <v>3</v>
      </c>
      <c r="B16" s="13" t="s">
        <v>49</v>
      </c>
      <c r="C16" s="7" t="s">
        <v>50</v>
      </c>
      <c r="D16" s="7" t="s">
        <v>51</v>
      </c>
      <c r="E16" s="7" t="s">
        <v>47</v>
      </c>
      <c r="F16" s="7" t="s">
        <v>52</v>
      </c>
    </row>
    <row r="17" customFormat="false" ht="37.5" hidden="false" customHeight="true" outlineLevel="0" collapsed="false">
      <c r="A17" s="8" t="n">
        <v>4</v>
      </c>
      <c r="B17" s="14" t="s">
        <v>53</v>
      </c>
      <c r="C17" s="10" t="s">
        <v>54</v>
      </c>
      <c r="D17" s="10" t="s">
        <v>55</v>
      </c>
      <c r="E17" s="10" t="s">
        <v>42</v>
      </c>
      <c r="F17" s="10" t="s">
        <v>56</v>
      </c>
    </row>
    <row r="18" customFormat="false" ht="37.5" hidden="false" customHeight="true" outlineLevel="0" collapsed="false">
      <c r="A18" s="5" t="n">
        <v>5</v>
      </c>
      <c r="B18" s="13" t="s">
        <v>57</v>
      </c>
      <c r="C18" s="7" t="s">
        <v>58</v>
      </c>
      <c r="D18" s="7" t="s">
        <v>59</v>
      </c>
      <c r="E18" s="7" t="s">
        <v>42</v>
      </c>
      <c r="F18" s="7" t="s">
        <v>60</v>
      </c>
    </row>
    <row r="19" customFormat="false" ht="37.5" hidden="false" customHeight="true" outlineLevel="0" collapsed="false">
      <c r="A19" s="8" t="n">
        <v>6</v>
      </c>
      <c r="B19" s="14" t="s">
        <v>61</v>
      </c>
      <c r="C19" s="10" t="s">
        <v>62</v>
      </c>
      <c r="D19" s="10" t="s">
        <v>63</v>
      </c>
      <c r="E19" s="10" t="s">
        <v>42</v>
      </c>
      <c r="F19" s="10" t="s">
        <v>64</v>
      </c>
    </row>
    <row r="20" customFormat="false" ht="37.5" hidden="false" customHeight="true" outlineLevel="0" collapsed="false">
      <c r="A20" s="5" t="n">
        <v>7</v>
      </c>
      <c r="B20" s="13" t="s">
        <v>65</v>
      </c>
      <c r="C20" s="7" t="s">
        <v>66</v>
      </c>
      <c r="D20" s="7" t="s">
        <v>67</v>
      </c>
      <c r="E20" s="7" t="s">
        <v>42</v>
      </c>
      <c r="F20" s="7" t="s">
        <v>68</v>
      </c>
    </row>
  </sheetData>
  <mergeCells count="4">
    <mergeCell ref="A1:F1"/>
    <mergeCell ref="A2:F2"/>
    <mergeCell ref="A4:F4"/>
    <mergeCell ref="A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32"/>
    <col collapsed="false" customWidth="true" hidden="false" outlineLevel="0" max="4" min="4" style="0" width="18"/>
    <col collapsed="false" customWidth="true" hidden="false" outlineLevel="0" max="7" min="5" style="0" width="10"/>
    <col collapsed="false" customWidth="true" hidden="false" outlineLevel="0" max="8" min="8" style="0" width="22"/>
    <col collapsed="false" customWidth="true" hidden="false" outlineLevel="0" max="9" min="9" style="0" width="20"/>
  </cols>
  <sheetData>
    <row r="1" customFormat="false" ht="30" hidden="false" customHeight="true" outlineLevel="0" collapsed="false">
      <c r="A1" s="1" t="s">
        <v>69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70</v>
      </c>
      <c r="B2" s="2"/>
      <c r="C2" s="2"/>
      <c r="D2" s="2"/>
      <c r="E2" s="2"/>
      <c r="F2" s="2"/>
      <c r="G2" s="2"/>
      <c r="H2" s="2"/>
      <c r="I2" s="2"/>
    </row>
    <row r="3" customFormat="false" ht="21.75" hidden="false" customHeight="true" outlineLevel="0" collapsed="false">
      <c r="A3" s="3" t="s">
        <v>71</v>
      </c>
      <c r="B3" s="3"/>
      <c r="C3" s="3"/>
      <c r="D3" s="3"/>
      <c r="E3" s="3"/>
      <c r="F3" s="3"/>
      <c r="G3" s="3"/>
      <c r="H3" s="3"/>
      <c r="I3" s="3"/>
    </row>
    <row r="4" customFormat="false" ht="27.75" hidden="false" customHeight="true" outlineLevel="0" collapsed="false">
      <c r="A4" s="4" t="s">
        <v>3</v>
      </c>
      <c r="B4" s="4" t="s">
        <v>72</v>
      </c>
      <c r="C4" s="4" t="s">
        <v>73</v>
      </c>
      <c r="D4" s="4" t="s">
        <v>74</v>
      </c>
      <c r="E4" s="4" t="s">
        <v>75</v>
      </c>
      <c r="F4" s="4" t="s">
        <v>76</v>
      </c>
      <c r="G4" s="4" t="s">
        <v>77</v>
      </c>
      <c r="H4" s="4" t="s">
        <v>78</v>
      </c>
      <c r="I4" s="4" t="s">
        <v>79</v>
      </c>
    </row>
    <row r="5" customFormat="false" ht="30" hidden="false" customHeight="true" outlineLevel="0" collapsed="false">
      <c r="A5" s="15" t="n">
        <v>1</v>
      </c>
      <c r="B5" s="16" t="s">
        <v>80</v>
      </c>
      <c r="C5" s="17" t="s">
        <v>81</v>
      </c>
      <c r="D5" s="17" t="s">
        <v>82</v>
      </c>
      <c r="E5" s="15" t="n">
        <v>3</v>
      </c>
      <c r="F5" s="15"/>
      <c r="G5" s="18" t="str">
        <f aca="false">IF(F5="","",F5/E5)</f>
        <v/>
      </c>
      <c r="H5" s="17" t="s">
        <v>83</v>
      </c>
      <c r="I5" s="17" t="s">
        <v>84</v>
      </c>
    </row>
    <row r="6" customFormat="false" ht="30" hidden="false" customHeight="true" outlineLevel="0" collapsed="false">
      <c r="A6" s="15" t="n">
        <v>2</v>
      </c>
      <c r="B6" s="16" t="s">
        <v>80</v>
      </c>
      <c r="C6" s="17" t="s">
        <v>85</v>
      </c>
      <c r="D6" s="17" t="s">
        <v>86</v>
      </c>
      <c r="E6" s="15" t="n">
        <v>2</v>
      </c>
      <c r="F6" s="15"/>
      <c r="G6" s="18" t="str">
        <f aca="false">IF(F6="","",F6/E6)</f>
        <v/>
      </c>
      <c r="H6" s="17" t="s">
        <v>87</v>
      </c>
      <c r="I6" s="17" t="s">
        <v>88</v>
      </c>
    </row>
    <row r="7" customFormat="false" ht="30" hidden="false" customHeight="true" outlineLevel="0" collapsed="false">
      <c r="A7" s="15" t="n">
        <v>3</v>
      </c>
      <c r="B7" s="16" t="s">
        <v>80</v>
      </c>
      <c r="C7" s="17" t="s">
        <v>89</v>
      </c>
      <c r="D7" s="17" t="s">
        <v>82</v>
      </c>
      <c r="E7" s="15" t="n">
        <v>2</v>
      </c>
      <c r="F7" s="15"/>
      <c r="G7" s="18" t="str">
        <f aca="false">IF(F7="","",F7/E7)</f>
        <v/>
      </c>
      <c r="H7" s="17" t="s">
        <v>87</v>
      </c>
      <c r="I7" s="17" t="s">
        <v>90</v>
      </c>
    </row>
    <row r="8" customFormat="false" ht="30" hidden="false" customHeight="true" outlineLevel="0" collapsed="false">
      <c r="A8" s="19" t="n">
        <v>4</v>
      </c>
      <c r="B8" s="20" t="s">
        <v>91</v>
      </c>
      <c r="C8" s="21" t="s">
        <v>92</v>
      </c>
      <c r="D8" s="21" t="s">
        <v>82</v>
      </c>
      <c r="E8" s="19" t="n">
        <v>3</v>
      </c>
      <c r="F8" s="19"/>
      <c r="G8" s="22" t="str">
        <f aca="false">IF(F8="","",F8/E8)</f>
        <v/>
      </c>
      <c r="H8" s="21" t="s">
        <v>93</v>
      </c>
      <c r="I8" s="21" t="s">
        <v>94</v>
      </c>
    </row>
    <row r="9" customFormat="false" ht="30" hidden="false" customHeight="true" outlineLevel="0" collapsed="false">
      <c r="A9" s="19" t="n">
        <v>5</v>
      </c>
      <c r="B9" s="20" t="s">
        <v>91</v>
      </c>
      <c r="C9" s="21" t="s">
        <v>95</v>
      </c>
      <c r="D9" s="21" t="s">
        <v>86</v>
      </c>
      <c r="E9" s="19" t="n">
        <v>2</v>
      </c>
      <c r="F9" s="19"/>
      <c r="G9" s="22" t="str">
        <f aca="false">IF(F9="","",F9/E9)</f>
        <v/>
      </c>
      <c r="H9" s="21" t="s">
        <v>96</v>
      </c>
      <c r="I9" s="21" t="s">
        <v>97</v>
      </c>
    </row>
    <row r="10" customFormat="false" ht="30" hidden="false" customHeight="true" outlineLevel="0" collapsed="false">
      <c r="A10" s="19" t="n">
        <v>6</v>
      </c>
      <c r="B10" s="20" t="s">
        <v>91</v>
      </c>
      <c r="C10" s="21" t="s">
        <v>98</v>
      </c>
      <c r="D10" s="21" t="s">
        <v>86</v>
      </c>
      <c r="E10" s="19" t="n">
        <v>2</v>
      </c>
      <c r="F10" s="19"/>
      <c r="G10" s="22" t="str">
        <f aca="false">IF(F10="","",F10/E10)</f>
        <v/>
      </c>
      <c r="H10" s="21" t="s">
        <v>99</v>
      </c>
      <c r="I10" s="21" t="s">
        <v>100</v>
      </c>
    </row>
    <row r="11" customFormat="false" ht="30" hidden="false" customHeight="true" outlineLevel="0" collapsed="false">
      <c r="A11" s="19" t="n">
        <v>7</v>
      </c>
      <c r="B11" s="20" t="s">
        <v>91</v>
      </c>
      <c r="C11" s="21" t="s">
        <v>101</v>
      </c>
      <c r="D11" s="21" t="s">
        <v>86</v>
      </c>
      <c r="E11" s="19" t="n">
        <v>2</v>
      </c>
      <c r="F11" s="19"/>
      <c r="G11" s="22" t="str">
        <f aca="false">IF(F11="","",F11/E11)</f>
        <v/>
      </c>
      <c r="H11" s="21" t="s">
        <v>102</v>
      </c>
      <c r="I11" s="21" t="s">
        <v>103</v>
      </c>
    </row>
    <row r="12" customFormat="false" ht="30" hidden="false" customHeight="true" outlineLevel="0" collapsed="false">
      <c r="A12" s="23" t="n">
        <v>8</v>
      </c>
      <c r="B12" s="24" t="s">
        <v>104</v>
      </c>
      <c r="C12" s="25" t="s">
        <v>105</v>
      </c>
      <c r="D12" s="25" t="s">
        <v>86</v>
      </c>
      <c r="E12" s="23" t="n">
        <v>2</v>
      </c>
      <c r="F12" s="23"/>
      <c r="G12" s="26" t="str">
        <f aca="false">IF(F12="","",F12/E12)</f>
        <v/>
      </c>
      <c r="H12" s="25" t="s">
        <v>106</v>
      </c>
      <c r="I12" s="25" t="s">
        <v>107</v>
      </c>
    </row>
    <row r="13" customFormat="false" ht="30" hidden="false" customHeight="true" outlineLevel="0" collapsed="false">
      <c r="A13" s="23" t="n">
        <v>9</v>
      </c>
      <c r="B13" s="24" t="s">
        <v>104</v>
      </c>
      <c r="C13" s="25" t="s">
        <v>108</v>
      </c>
      <c r="D13" s="25" t="s">
        <v>86</v>
      </c>
      <c r="E13" s="23" t="n">
        <v>2</v>
      </c>
      <c r="F13" s="23"/>
      <c r="G13" s="26" t="str">
        <f aca="false">IF(F13="","",F13/E13)</f>
        <v/>
      </c>
      <c r="H13" s="25" t="s">
        <v>109</v>
      </c>
      <c r="I13" s="25" t="s">
        <v>110</v>
      </c>
    </row>
    <row r="14" customFormat="false" ht="30" hidden="false" customHeight="true" outlineLevel="0" collapsed="false">
      <c r="A14" s="23" t="n">
        <v>10</v>
      </c>
      <c r="B14" s="24" t="s">
        <v>104</v>
      </c>
      <c r="C14" s="25" t="s">
        <v>111</v>
      </c>
      <c r="D14" s="25" t="s">
        <v>112</v>
      </c>
      <c r="E14" s="23" t="n">
        <v>4</v>
      </c>
      <c r="F14" s="23"/>
      <c r="G14" s="26" t="str">
        <f aca="false">IF(F14="","",F14/E14)</f>
        <v/>
      </c>
      <c r="H14" s="25" t="s">
        <v>113</v>
      </c>
      <c r="I14" s="25" t="s">
        <v>114</v>
      </c>
    </row>
    <row r="15" customFormat="false" ht="30" hidden="false" customHeight="true" outlineLevel="0" collapsed="false">
      <c r="A15" s="23" t="n">
        <v>11</v>
      </c>
      <c r="B15" s="24" t="s">
        <v>104</v>
      </c>
      <c r="C15" s="25" t="s">
        <v>115</v>
      </c>
      <c r="D15" s="25" t="s">
        <v>112</v>
      </c>
      <c r="E15" s="23" t="n">
        <v>5</v>
      </c>
      <c r="F15" s="23"/>
      <c r="G15" s="26" t="str">
        <f aca="false">IF(F15="","",F15/E15)</f>
        <v/>
      </c>
      <c r="H15" s="25" t="s">
        <v>116</v>
      </c>
      <c r="I15" s="25" t="s">
        <v>117</v>
      </c>
    </row>
    <row r="16" customFormat="false" ht="30" hidden="false" customHeight="true" outlineLevel="0" collapsed="false">
      <c r="A16" s="23" t="n">
        <v>12</v>
      </c>
      <c r="B16" s="24" t="s">
        <v>104</v>
      </c>
      <c r="C16" s="25" t="s">
        <v>118</v>
      </c>
      <c r="D16" s="25" t="s">
        <v>112</v>
      </c>
      <c r="E16" s="23" t="n">
        <v>3</v>
      </c>
      <c r="F16" s="23"/>
      <c r="G16" s="26" t="str">
        <f aca="false">IF(F16="","",F16/E16)</f>
        <v/>
      </c>
      <c r="H16" s="25" t="s">
        <v>119</v>
      </c>
      <c r="I16" s="25" t="s">
        <v>120</v>
      </c>
    </row>
    <row r="17" customFormat="false" ht="30" hidden="false" customHeight="true" outlineLevel="0" collapsed="false">
      <c r="A17" s="23" t="n">
        <v>13</v>
      </c>
      <c r="B17" s="24" t="s">
        <v>104</v>
      </c>
      <c r="C17" s="25" t="s">
        <v>121</v>
      </c>
      <c r="D17" s="25" t="s">
        <v>112</v>
      </c>
      <c r="E17" s="23" t="n">
        <v>3</v>
      </c>
      <c r="F17" s="23"/>
      <c r="G17" s="26" t="str">
        <f aca="false">IF(F17="","",F17/E17)</f>
        <v/>
      </c>
      <c r="H17" s="25" t="s">
        <v>122</v>
      </c>
      <c r="I17" s="25" t="s">
        <v>123</v>
      </c>
    </row>
    <row r="18" customFormat="false" ht="30" hidden="false" customHeight="true" outlineLevel="0" collapsed="false">
      <c r="A18" s="23" t="n">
        <v>14</v>
      </c>
      <c r="B18" s="24" t="s">
        <v>104</v>
      </c>
      <c r="C18" s="25" t="s">
        <v>124</v>
      </c>
      <c r="D18" s="25" t="s">
        <v>112</v>
      </c>
      <c r="E18" s="23" t="n">
        <v>2</v>
      </c>
      <c r="F18" s="23"/>
      <c r="G18" s="26" t="str">
        <f aca="false">IF(F18="","",F18/E18)</f>
        <v/>
      </c>
      <c r="H18" s="25" t="s">
        <v>125</v>
      </c>
      <c r="I18" s="25" t="s">
        <v>126</v>
      </c>
    </row>
    <row r="19" customFormat="false" ht="30" hidden="false" customHeight="true" outlineLevel="0" collapsed="false">
      <c r="A19" s="27" t="n">
        <v>15</v>
      </c>
      <c r="B19" s="28" t="s">
        <v>127</v>
      </c>
      <c r="C19" s="29" t="s">
        <v>128</v>
      </c>
      <c r="D19" s="29" t="s">
        <v>86</v>
      </c>
      <c r="E19" s="27" t="n">
        <v>3</v>
      </c>
      <c r="F19" s="27"/>
      <c r="G19" s="30" t="str">
        <f aca="false">IF(F19="","",F19/E19)</f>
        <v/>
      </c>
      <c r="H19" s="29" t="s">
        <v>129</v>
      </c>
      <c r="I19" s="29" t="s">
        <v>130</v>
      </c>
    </row>
    <row r="20" customFormat="false" ht="30" hidden="false" customHeight="true" outlineLevel="0" collapsed="false">
      <c r="A20" s="27" t="n">
        <v>16</v>
      </c>
      <c r="B20" s="28" t="s">
        <v>127</v>
      </c>
      <c r="C20" s="29" t="s">
        <v>131</v>
      </c>
      <c r="D20" s="29" t="s">
        <v>112</v>
      </c>
      <c r="E20" s="27" t="n">
        <v>3</v>
      </c>
      <c r="F20" s="27"/>
      <c r="G20" s="30" t="str">
        <f aca="false">IF(F20="","",F20/E20)</f>
        <v/>
      </c>
      <c r="H20" s="29" t="s">
        <v>132</v>
      </c>
      <c r="I20" s="29" t="s">
        <v>133</v>
      </c>
    </row>
    <row r="21" customFormat="false" ht="30" hidden="false" customHeight="true" outlineLevel="0" collapsed="false">
      <c r="A21" s="27" t="n">
        <v>17</v>
      </c>
      <c r="B21" s="28" t="s">
        <v>127</v>
      </c>
      <c r="C21" s="29" t="s">
        <v>134</v>
      </c>
      <c r="D21" s="29" t="s">
        <v>86</v>
      </c>
      <c r="E21" s="27" t="n">
        <v>2</v>
      </c>
      <c r="F21" s="27"/>
      <c r="G21" s="30" t="str">
        <f aca="false">IF(F21="","",F21/E21)</f>
        <v/>
      </c>
      <c r="H21" s="29" t="s">
        <v>135</v>
      </c>
      <c r="I21" s="29" t="s">
        <v>136</v>
      </c>
    </row>
    <row r="22" customFormat="false" ht="30" hidden="false" customHeight="true" outlineLevel="0" collapsed="false">
      <c r="A22" s="27" t="n">
        <v>18</v>
      </c>
      <c r="B22" s="28" t="s">
        <v>127</v>
      </c>
      <c r="C22" s="29" t="s">
        <v>137</v>
      </c>
      <c r="D22" s="29" t="s">
        <v>82</v>
      </c>
      <c r="E22" s="27" t="n">
        <v>2</v>
      </c>
      <c r="F22" s="27"/>
      <c r="G22" s="30" t="str">
        <f aca="false">IF(F22="","",F22/E22)</f>
        <v/>
      </c>
      <c r="H22" s="29" t="s">
        <v>138</v>
      </c>
      <c r="I22" s="29" t="s">
        <v>139</v>
      </c>
    </row>
    <row r="23" customFormat="false" ht="30" hidden="false" customHeight="true" outlineLevel="0" collapsed="false">
      <c r="A23" s="31" t="n">
        <v>19</v>
      </c>
      <c r="B23" s="32" t="s">
        <v>140</v>
      </c>
      <c r="C23" s="33" t="s">
        <v>141</v>
      </c>
      <c r="D23" s="33" t="s">
        <v>82</v>
      </c>
      <c r="E23" s="31" t="n">
        <v>2</v>
      </c>
      <c r="F23" s="31"/>
      <c r="G23" s="34" t="str">
        <f aca="false">IF(F23="","",F23/E23)</f>
        <v/>
      </c>
      <c r="H23" s="33" t="s">
        <v>142</v>
      </c>
      <c r="I23" s="33" t="s">
        <v>143</v>
      </c>
    </row>
    <row r="24" customFormat="false" ht="30" hidden="false" customHeight="true" outlineLevel="0" collapsed="false">
      <c r="A24" s="31" t="n">
        <v>20</v>
      </c>
      <c r="B24" s="32" t="s">
        <v>140</v>
      </c>
      <c r="C24" s="33" t="s">
        <v>144</v>
      </c>
      <c r="D24" s="33" t="s">
        <v>82</v>
      </c>
      <c r="E24" s="31" t="n">
        <v>1</v>
      </c>
      <c r="F24" s="31"/>
      <c r="G24" s="34" t="str">
        <f aca="false">IF(F24="","",F24/E24)</f>
        <v/>
      </c>
      <c r="H24" s="33" t="s">
        <v>145</v>
      </c>
      <c r="I24" s="33" t="s">
        <v>146</v>
      </c>
    </row>
    <row r="25" customFormat="false" ht="30" hidden="false" customHeight="true" outlineLevel="0" collapsed="false">
      <c r="A25" s="31" t="n">
        <v>21</v>
      </c>
      <c r="B25" s="32" t="s">
        <v>140</v>
      </c>
      <c r="C25" s="33" t="s">
        <v>147</v>
      </c>
      <c r="D25" s="33" t="s">
        <v>148</v>
      </c>
      <c r="E25" s="31" t="n">
        <v>1</v>
      </c>
      <c r="F25" s="31"/>
      <c r="G25" s="34" t="str">
        <f aca="false">IF(F25="","",F25/E25)</f>
        <v/>
      </c>
      <c r="H25" s="33" t="s">
        <v>149</v>
      </c>
      <c r="I25" s="33" t="s">
        <v>150</v>
      </c>
    </row>
    <row r="26" customFormat="false" ht="21.75" hidden="false" customHeight="true" outlineLevel="0" collapsed="false">
      <c r="A26" s="35" t="s">
        <v>151</v>
      </c>
      <c r="B26" s="35"/>
      <c r="C26" s="35"/>
      <c r="D26" s="35"/>
      <c r="E26" s="36" t="n">
        <f aca="false">SUM(E5:E25)</f>
        <v>51</v>
      </c>
    </row>
  </sheetData>
  <mergeCells count="4">
    <mergeCell ref="A1:I1"/>
    <mergeCell ref="A2:I2"/>
    <mergeCell ref="A3:I3"/>
    <mergeCell ref="A26:D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15" min="4" style="0" width="8"/>
  </cols>
  <sheetData>
    <row r="1" customFormat="false" ht="30" hidden="false" customHeight="true" outlineLevel="0" collapsed="false">
      <c r="A1" s="1" t="s">
        <v>152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8" hidden="false" customHeight="true" outlineLevel="0" collapsed="false">
      <c r="A2" s="2" t="s">
        <v>153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24" hidden="false" customHeight="true" outlineLevel="0" collapsed="false">
      <c r="A3" s="4" t="s">
        <v>3</v>
      </c>
      <c r="B3" s="4" t="s">
        <v>73</v>
      </c>
      <c r="C3" s="4" t="s">
        <v>74</v>
      </c>
      <c r="D3" s="4" t="s">
        <v>154</v>
      </c>
      <c r="E3" s="4" t="s">
        <v>155</v>
      </c>
      <c r="F3" s="37" t="s">
        <v>156</v>
      </c>
      <c r="G3" s="37" t="s">
        <v>157</v>
      </c>
      <c r="H3" s="37" t="s">
        <v>158</v>
      </c>
      <c r="I3" s="37" t="s">
        <v>159</v>
      </c>
      <c r="J3" s="37" t="s">
        <v>160</v>
      </c>
      <c r="K3" s="37" t="s">
        <v>161</v>
      </c>
      <c r="L3" s="37" t="s">
        <v>162</v>
      </c>
      <c r="M3" s="37" t="s">
        <v>163</v>
      </c>
      <c r="N3" s="37" t="s">
        <v>164</v>
      </c>
      <c r="O3" s="37" t="s">
        <v>165</v>
      </c>
    </row>
    <row r="4" customFormat="false" ht="21.75" hidden="false" customHeight="true" outlineLevel="0" collapsed="false">
      <c r="A4" s="38" t="n">
        <v>1</v>
      </c>
      <c r="B4" s="39" t="s">
        <v>81</v>
      </c>
      <c r="C4" s="39" t="s">
        <v>82</v>
      </c>
      <c r="D4" s="38" t="n">
        <v>3</v>
      </c>
      <c r="E4" s="38" t="n">
        <v>1</v>
      </c>
      <c r="F4" s="40" t="s">
        <v>166</v>
      </c>
      <c r="G4" s="41"/>
      <c r="H4" s="41"/>
      <c r="I4" s="41"/>
      <c r="J4" s="41"/>
      <c r="K4" s="41"/>
      <c r="L4" s="41"/>
      <c r="M4" s="41"/>
      <c r="N4" s="41"/>
      <c r="O4" s="41"/>
    </row>
    <row r="5" customFormat="false" ht="21.75" hidden="false" customHeight="true" outlineLevel="0" collapsed="false">
      <c r="A5" s="42" t="n">
        <v>2</v>
      </c>
      <c r="B5" s="43" t="s">
        <v>85</v>
      </c>
      <c r="C5" s="43" t="s">
        <v>86</v>
      </c>
      <c r="D5" s="42" t="n">
        <v>2</v>
      </c>
      <c r="E5" s="42" t="n">
        <v>1</v>
      </c>
      <c r="F5" s="40" t="s">
        <v>166</v>
      </c>
      <c r="G5" s="44"/>
      <c r="H5" s="44"/>
      <c r="I5" s="44"/>
      <c r="J5" s="44"/>
      <c r="K5" s="44"/>
      <c r="L5" s="44"/>
      <c r="M5" s="44"/>
      <c r="N5" s="44"/>
      <c r="O5" s="44"/>
    </row>
    <row r="6" customFormat="false" ht="21.75" hidden="false" customHeight="true" outlineLevel="0" collapsed="false">
      <c r="A6" s="38" t="n">
        <v>3</v>
      </c>
      <c r="B6" s="39" t="s">
        <v>89</v>
      </c>
      <c r="C6" s="39" t="s">
        <v>82</v>
      </c>
      <c r="D6" s="38" t="n">
        <v>2</v>
      </c>
      <c r="E6" s="38" t="n">
        <v>1</v>
      </c>
      <c r="F6" s="40" t="s">
        <v>166</v>
      </c>
      <c r="G6" s="41"/>
      <c r="H6" s="41"/>
      <c r="I6" s="41"/>
      <c r="J6" s="41"/>
      <c r="K6" s="41"/>
      <c r="L6" s="41"/>
      <c r="M6" s="41"/>
      <c r="N6" s="41"/>
      <c r="O6" s="41"/>
    </row>
    <row r="7" customFormat="false" ht="21.75" hidden="false" customHeight="true" outlineLevel="0" collapsed="false">
      <c r="A7" s="42" t="n">
        <v>4</v>
      </c>
      <c r="B7" s="43" t="s">
        <v>167</v>
      </c>
      <c r="C7" s="43" t="s">
        <v>82</v>
      </c>
      <c r="D7" s="42" t="n">
        <v>3</v>
      </c>
      <c r="E7" s="42" t="n">
        <v>2</v>
      </c>
      <c r="F7" s="44"/>
      <c r="G7" s="45" t="s">
        <v>166</v>
      </c>
      <c r="H7" s="44"/>
      <c r="I7" s="44"/>
      <c r="J7" s="44"/>
      <c r="K7" s="44"/>
      <c r="L7" s="44"/>
      <c r="M7" s="44"/>
      <c r="N7" s="44"/>
      <c r="O7" s="44"/>
    </row>
    <row r="8" customFormat="false" ht="21.75" hidden="false" customHeight="true" outlineLevel="0" collapsed="false">
      <c r="A8" s="38" t="n">
        <v>5</v>
      </c>
      <c r="B8" s="39" t="s">
        <v>95</v>
      </c>
      <c r="C8" s="39" t="s">
        <v>86</v>
      </c>
      <c r="D8" s="38" t="n">
        <v>2</v>
      </c>
      <c r="E8" s="38" t="n">
        <v>2</v>
      </c>
      <c r="F8" s="41"/>
      <c r="G8" s="45" t="s">
        <v>166</v>
      </c>
      <c r="H8" s="41"/>
      <c r="I8" s="41"/>
      <c r="J8" s="41"/>
      <c r="K8" s="41"/>
      <c r="L8" s="41"/>
      <c r="M8" s="41"/>
      <c r="N8" s="41"/>
      <c r="O8" s="41"/>
    </row>
    <row r="9" customFormat="false" ht="21.75" hidden="false" customHeight="true" outlineLevel="0" collapsed="false">
      <c r="A9" s="42" t="n">
        <v>6</v>
      </c>
      <c r="B9" s="43" t="s">
        <v>98</v>
      </c>
      <c r="C9" s="43" t="s">
        <v>86</v>
      </c>
      <c r="D9" s="42" t="n">
        <v>2</v>
      </c>
      <c r="E9" s="42" t="n">
        <v>3</v>
      </c>
      <c r="F9" s="44"/>
      <c r="G9" s="44"/>
      <c r="H9" s="45" t="s">
        <v>166</v>
      </c>
      <c r="I9" s="44"/>
      <c r="J9" s="44"/>
      <c r="K9" s="44"/>
      <c r="L9" s="44"/>
      <c r="M9" s="44"/>
      <c r="N9" s="44"/>
      <c r="O9" s="44"/>
    </row>
    <row r="10" customFormat="false" ht="21.75" hidden="false" customHeight="true" outlineLevel="0" collapsed="false">
      <c r="A10" s="38" t="n">
        <v>7</v>
      </c>
      <c r="B10" s="39" t="s">
        <v>101</v>
      </c>
      <c r="C10" s="39" t="s">
        <v>86</v>
      </c>
      <c r="D10" s="38" t="n">
        <v>2</v>
      </c>
      <c r="E10" s="38" t="n">
        <v>3</v>
      </c>
      <c r="F10" s="41"/>
      <c r="G10" s="41"/>
      <c r="H10" s="45" t="s">
        <v>166</v>
      </c>
      <c r="I10" s="41"/>
      <c r="J10" s="41"/>
      <c r="K10" s="41"/>
      <c r="L10" s="41"/>
      <c r="M10" s="41"/>
      <c r="N10" s="41"/>
      <c r="O10" s="41"/>
    </row>
    <row r="11" customFormat="false" ht="21.75" hidden="false" customHeight="true" outlineLevel="0" collapsed="false">
      <c r="A11" s="42" t="n">
        <v>8</v>
      </c>
      <c r="B11" s="43" t="s">
        <v>105</v>
      </c>
      <c r="C11" s="43" t="s">
        <v>86</v>
      </c>
      <c r="D11" s="42" t="n">
        <v>2</v>
      </c>
      <c r="E11" s="42" t="n">
        <v>4</v>
      </c>
      <c r="F11" s="44"/>
      <c r="G11" s="44"/>
      <c r="H11" s="44"/>
      <c r="I11" s="46" t="s">
        <v>166</v>
      </c>
      <c r="J11" s="44"/>
      <c r="K11" s="44"/>
      <c r="L11" s="44"/>
      <c r="M11" s="44"/>
      <c r="N11" s="44"/>
      <c r="O11" s="44"/>
    </row>
    <row r="12" customFormat="false" ht="21.75" hidden="false" customHeight="true" outlineLevel="0" collapsed="false">
      <c r="A12" s="38" t="n">
        <v>9</v>
      </c>
      <c r="B12" s="39" t="s">
        <v>108</v>
      </c>
      <c r="C12" s="39" t="s">
        <v>86</v>
      </c>
      <c r="D12" s="38" t="n">
        <v>2</v>
      </c>
      <c r="E12" s="38" t="n">
        <v>4</v>
      </c>
      <c r="F12" s="41"/>
      <c r="G12" s="41"/>
      <c r="H12" s="41"/>
      <c r="I12" s="46" t="s">
        <v>166</v>
      </c>
      <c r="J12" s="41"/>
      <c r="K12" s="41"/>
      <c r="L12" s="41"/>
      <c r="M12" s="41"/>
      <c r="N12" s="41"/>
      <c r="O12" s="41"/>
    </row>
    <row r="13" customFormat="false" ht="21.75" hidden="false" customHeight="true" outlineLevel="0" collapsed="false">
      <c r="A13" s="42" t="n">
        <v>10</v>
      </c>
      <c r="B13" s="43" t="s">
        <v>111</v>
      </c>
      <c r="C13" s="43" t="s">
        <v>112</v>
      </c>
      <c r="D13" s="42" t="n">
        <v>4</v>
      </c>
      <c r="E13" s="42" t="n">
        <v>5</v>
      </c>
      <c r="F13" s="44"/>
      <c r="G13" s="44"/>
      <c r="H13" s="44"/>
      <c r="I13" s="44"/>
      <c r="J13" s="46" t="s">
        <v>166</v>
      </c>
      <c r="K13" s="44"/>
      <c r="L13" s="44"/>
      <c r="M13" s="44"/>
      <c r="N13" s="44"/>
      <c r="O13" s="44"/>
    </row>
    <row r="14" customFormat="false" ht="21.75" hidden="false" customHeight="true" outlineLevel="0" collapsed="false">
      <c r="A14" s="38" t="n">
        <v>11</v>
      </c>
      <c r="B14" s="39" t="s">
        <v>115</v>
      </c>
      <c r="C14" s="39" t="s">
        <v>112</v>
      </c>
      <c r="D14" s="38" t="n">
        <v>5</v>
      </c>
      <c r="E14" s="38" t="n">
        <v>5</v>
      </c>
      <c r="F14" s="41"/>
      <c r="G14" s="41"/>
      <c r="H14" s="41"/>
      <c r="I14" s="41"/>
      <c r="J14" s="46" t="s">
        <v>166</v>
      </c>
      <c r="K14" s="46" t="s">
        <v>166</v>
      </c>
      <c r="L14" s="41"/>
      <c r="M14" s="41"/>
      <c r="N14" s="41"/>
      <c r="O14" s="41"/>
    </row>
    <row r="15" customFormat="false" ht="21.75" hidden="false" customHeight="true" outlineLevel="0" collapsed="false">
      <c r="A15" s="42" t="n">
        <v>12</v>
      </c>
      <c r="B15" s="43" t="s">
        <v>118</v>
      </c>
      <c r="C15" s="43" t="s">
        <v>112</v>
      </c>
      <c r="D15" s="42" t="n">
        <v>3</v>
      </c>
      <c r="E15" s="42" t="n">
        <v>6</v>
      </c>
      <c r="F15" s="44"/>
      <c r="G15" s="44"/>
      <c r="H15" s="44"/>
      <c r="I15" s="44"/>
      <c r="J15" s="44"/>
      <c r="K15" s="46" t="s">
        <v>166</v>
      </c>
      <c r="L15" s="44"/>
      <c r="M15" s="44"/>
      <c r="N15" s="44"/>
      <c r="O15" s="44"/>
    </row>
    <row r="16" customFormat="false" ht="21.75" hidden="false" customHeight="true" outlineLevel="0" collapsed="false">
      <c r="A16" s="38" t="n">
        <v>13</v>
      </c>
      <c r="B16" s="39" t="s">
        <v>121</v>
      </c>
      <c r="C16" s="39" t="s">
        <v>112</v>
      </c>
      <c r="D16" s="38" t="n">
        <v>3</v>
      </c>
      <c r="E16" s="38" t="n">
        <v>7</v>
      </c>
      <c r="F16" s="41"/>
      <c r="G16" s="41"/>
      <c r="H16" s="41"/>
      <c r="I16" s="41"/>
      <c r="J16" s="41"/>
      <c r="K16" s="41"/>
      <c r="L16" s="46" t="s">
        <v>166</v>
      </c>
      <c r="M16" s="41"/>
      <c r="N16" s="41"/>
      <c r="O16" s="41"/>
    </row>
    <row r="17" customFormat="false" ht="21.75" hidden="false" customHeight="true" outlineLevel="0" collapsed="false">
      <c r="A17" s="42" t="n">
        <v>14</v>
      </c>
      <c r="B17" s="43" t="s">
        <v>124</v>
      </c>
      <c r="C17" s="43" t="s">
        <v>112</v>
      </c>
      <c r="D17" s="42" t="n">
        <v>2</v>
      </c>
      <c r="E17" s="42" t="n">
        <v>7</v>
      </c>
      <c r="F17" s="44"/>
      <c r="G17" s="44"/>
      <c r="H17" s="44"/>
      <c r="I17" s="44"/>
      <c r="J17" s="44"/>
      <c r="K17" s="44"/>
      <c r="L17" s="46" t="s">
        <v>166</v>
      </c>
      <c r="M17" s="44"/>
      <c r="N17" s="44"/>
      <c r="O17" s="44"/>
    </row>
    <row r="18" customFormat="false" ht="21.75" hidden="false" customHeight="true" outlineLevel="0" collapsed="false">
      <c r="A18" s="38" t="n">
        <v>15</v>
      </c>
      <c r="B18" s="39" t="s">
        <v>168</v>
      </c>
      <c r="C18" s="39" t="s">
        <v>86</v>
      </c>
      <c r="D18" s="38" t="n">
        <v>3</v>
      </c>
      <c r="E18" s="38" t="n">
        <v>7</v>
      </c>
      <c r="F18" s="41"/>
      <c r="G18" s="41"/>
      <c r="H18" s="41"/>
      <c r="I18" s="41"/>
      <c r="J18" s="41"/>
      <c r="K18" s="41"/>
      <c r="L18" s="47" t="s">
        <v>166</v>
      </c>
      <c r="M18" s="41"/>
      <c r="N18" s="41"/>
      <c r="O18" s="41"/>
    </row>
    <row r="19" customFormat="false" ht="21.75" hidden="false" customHeight="true" outlineLevel="0" collapsed="false">
      <c r="A19" s="42" t="n">
        <v>16</v>
      </c>
      <c r="B19" s="43" t="s">
        <v>169</v>
      </c>
      <c r="C19" s="43" t="s">
        <v>112</v>
      </c>
      <c r="D19" s="42" t="n">
        <v>3</v>
      </c>
      <c r="E19" s="42" t="n">
        <v>8</v>
      </c>
      <c r="F19" s="44"/>
      <c r="G19" s="44"/>
      <c r="H19" s="44"/>
      <c r="I19" s="44"/>
      <c r="J19" s="44"/>
      <c r="K19" s="44"/>
      <c r="L19" s="44"/>
      <c r="M19" s="47" t="s">
        <v>166</v>
      </c>
      <c r="N19" s="44"/>
      <c r="O19" s="44"/>
    </row>
    <row r="20" customFormat="false" ht="21.75" hidden="false" customHeight="true" outlineLevel="0" collapsed="false">
      <c r="A20" s="38" t="n">
        <v>17</v>
      </c>
      <c r="B20" s="39" t="s">
        <v>170</v>
      </c>
      <c r="C20" s="39" t="s">
        <v>86</v>
      </c>
      <c r="D20" s="38" t="n">
        <v>2</v>
      </c>
      <c r="E20" s="38" t="n">
        <v>8</v>
      </c>
      <c r="F20" s="41"/>
      <c r="G20" s="41"/>
      <c r="H20" s="41"/>
      <c r="I20" s="41"/>
      <c r="J20" s="41"/>
      <c r="K20" s="41"/>
      <c r="L20" s="41"/>
      <c r="M20" s="47" t="s">
        <v>166</v>
      </c>
      <c r="N20" s="41"/>
      <c r="O20" s="41"/>
    </row>
    <row r="21" customFormat="false" ht="21.75" hidden="false" customHeight="true" outlineLevel="0" collapsed="false">
      <c r="A21" s="42" t="n">
        <v>18</v>
      </c>
      <c r="B21" s="43" t="s">
        <v>137</v>
      </c>
      <c r="C21" s="43" t="s">
        <v>82</v>
      </c>
      <c r="D21" s="42" t="n">
        <v>2</v>
      </c>
      <c r="E21" s="42" t="n">
        <v>9</v>
      </c>
      <c r="F21" s="44"/>
      <c r="G21" s="44"/>
      <c r="H21" s="44"/>
      <c r="I21" s="44"/>
      <c r="J21" s="44"/>
      <c r="K21" s="44"/>
      <c r="L21" s="44"/>
      <c r="M21" s="44"/>
      <c r="N21" s="47" t="s">
        <v>166</v>
      </c>
      <c r="O21" s="44"/>
    </row>
    <row r="22" customFormat="false" ht="21.75" hidden="false" customHeight="true" outlineLevel="0" collapsed="false">
      <c r="A22" s="38" t="n">
        <v>19</v>
      </c>
      <c r="B22" s="39" t="s">
        <v>171</v>
      </c>
      <c r="C22" s="39" t="s">
        <v>82</v>
      </c>
      <c r="D22" s="38" t="n">
        <v>2</v>
      </c>
      <c r="E22" s="38" t="n">
        <v>9</v>
      </c>
      <c r="F22" s="41"/>
      <c r="G22" s="41"/>
      <c r="H22" s="41"/>
      <c r="I22" s="41"/>
      <c r="J22" s="41"/>
      <c r="K22" s="41"/>
      <c r="L22" s="41"/>
      <c r="M22" s="41"/>
      <c r="N22" s="48" t="s">
        <v>166</v>
      </c>
      <c r="O22" s="41"/>
    </row>
    <row r="23" customFormat="false" ht="21.75" hidden="false" customHeight="true" outlineLevel="0" collapsed="false">
      <c r="A23" s="42" t="n">
        <v>20</v>
      </c>
      <c r="B23" s="43" t="s">
        <v>172</v>
      </c>
      <c r="C23" s="43" t="s">
        <v>148</v>
      </c>
      <c r="D23" s="42" t="n">
        <v>2</v>
      </c>
      <c r="E23" s="42" t="n">
        <v>10</v>
      </c>
      <c r="F23" s="44"/>
      <c r="G23" s="44"/>
      <c r="H23" s="44"/>
      <c r="I23" s="44"/>
      <c r="J23" s="44"/>
      <c r="K23" s="44"/>
      <c r="L23" s="44"/>
      <c r="M23" s="44"/>
      <c r="N23" s="44"/>
      <c r="O23" s="48" t="s">
        <v>166</v>
      </c>
    </row>
  </sheetData>
  <mergeCells count="2">
    <mergeCell ref="A1:P1"/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22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28"/>
    <col collapsed="false" customWidth="true" hidden="false" outlineLevel="0" max="7" min="7" style="0" width="20"/>
  </cols>
  <sheetData>
    <row r="1" customFormat="false" ht="30" hidden="false" customHeight="true" outlineLevel="0" collapsed="false">
      <c r="A1" s="1" t="s">
        <v>173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174</v>
      </c>
      <c r="B2" s="2"/>
      <c r="C2" s="2"/>
      <c r="D2" s="2"/>
      <c r="E2" s="2"/>
      <c r="F2" s="2"/>
      <c r="G2" s="2"/>
    </row>
    <row r="3" customFormat="false" ht="21.75" hidden="false" customHeight="true" outlineLevel="0" collapsed="false">
      <c r="A3" s="49" t="s">
        <v>175</v>
      </c>
      <c r="B3" s="49"/>
      <c r="C3" s="49"/>
      <c r="D3" s="49"/>
      <c r="E3" s="49"/>
      <c r="F3" s="49"/>
      <c r="G3" s="49"/>
    </row>
    <row r="4" customFormat="false" ht="19.5" hidden="false" customHeight="true" outlineLevel="0" collapsed="false">
      <c r="A4" s="50" t="s">
        <v>3</v>
      </c>
      <c r="B4" s="50" t="s">
        <v>176</v>
      </c>
      <c r="C4" s="50" t="s">
        <v>177</v>
      </c>
      <c r="D4" s="50" t="s">
        <v>178</v>
      </c>
      <c r="E4" s="50" t="s">
        <v>179</v>
      </c>
      <c r="F4" s="50" t="s">
        <v>5</v>
      </c>
      <c r="G4" s="50" t="s">
        <v>180</v>
      </c>
    </row>
    <row r="5" customFormat="false" ht="36" hidden="false" customHeight="true" outlineLevel="0" collapsed="false">
      <c r="A5" s="5" t="n">
        <v>1</v>
      </c>
      <c r="B5" s="51" t="s">
        <v>181</v>
      </c>
      <c r="C5" s="7" t="s">
        <v>182</v>
      </c>
      <c r="D5" s="7" t="s">
        <v>183</v>
      </c>
      <c r="E5" s="7" t="s">
        <v>184</v>
      </c>
      <c r="F5" s="7" t="s">
        <v>185</v>
      </c>
      <c r="G5" s="7" t="s">
        <v>186</v>
      </c>
    </row>
    <row r="6" customFormat="false" ht="36" hidden="false" customHeight="true" outlineLevel="0" collapsed="false">
      <c r="A6" s="8" t="n">
        <v>2</v>
      </c>
      <c r="B6" s="52" t="s">
        <v>187</v>
      </c>
      <c r="C6" s="10" t="s">
        <v>188</v>
      </c>
      <c r="D6" s="10" t="s">
        <v>189</v>
      </c>
      <c r="E6" s="10" t="s">
        <v>190</v>
      </c>
      <c r="F6" s="10" t="s">
        <v>191</v>
      </c>
      <c r="G6" s="10" t="s">
        <v>192</v>
      </c>
    </row>
    <row r="7" customFormat="false" ht="36" hidden="false" customHeight="true" outlineLevel="0" collapsed="false">
      <c r="A7" s="5" t="n">
        <v>3</v>
      </c>
      <c r="B7" s="51" t="s">
        <v>193</v>
      </c>
      <c r="C7" s="7" t="s">
        <v>194</v>
      </c>
      <c r="D7" s="7" t="s">
        <v>195</v>
      </c>
      <c r="E7" s="7" t="s">
        <v>196</v>
      </c>
      <c r="F7" s="7" t="s">
        <v>197</v>
      </c>
      <c r="G7" s="7" t="s">
        <v>198</v>
      </c>
    </row>
    <row r="8" customFormat="false" ht="36" hidden="false" customHeight="true" outlineLevel="0" collapsed="false">
      <c r="A8" s="8" t="n">
        <v>4</v>
      </c>
      <c r="B8" s="52" t="s">
        <v>199</v>
      </c>
      <c r="C8" s="10" t="s">
        <v>200</v>
      </c>
      <c r="D8" s="10" t="s">
        <v>201</v>
      </c>
      <c r="E8" s="10" t="s">
        <v>202</v>
      </c>
      <c r="F8" s="10" t="s">
        <v>203</v>
      </c>
      <c r="G8" s="10" t="s">
        <v>204</v>
      </c>
    </row>
    <row r="9" customFormat="false" ht="36" hidden="false" customHeight="true" outlineLevel="0" collapsed="false">
      <c r="A9" s="5" t="n">
        <v>5</v>
      </c>
      <c r="B9" s="51" t="s">
        <v>205</v>
      </c>
      <c r="C9" s="7" t="s">
        <v>206</v>
      </c>
      <c r="D9" s="7" t="s">
        <v>207</v>
      </c>
      <c r="E9" s="7" t="s">
        <v>208</v>
      </c>
      <c r="F9" s="7" t="s">
        <v>209</v>
      </c>
      <c r="G9" s="7" t="s">
        <v>210</v>
      </c>
    </row>
    <row r="10" customFormat="false" ht="36" hidden="false" customHeight="true" outlineLevel="0" collapsed="false">
      <c r="A10" s="8" t="n">
        <v>6</v>
      </c>
      <c r="B10" s="52" t="s">
        <v>211</v>
      </c>
      <c r="C10" s="10" t="s">
        <v>212</v>
      </c>
      <c r="D10" s="10" t="s">
        <v>213</v>
      </c>
      <c r="E10" s="10" t="s">
        <v>214</v>
      </c>
      <c r="F10" s="10" t="s">
        <v>215</v>
      </c>
      <c r="G10" s="10" t="s">
        <v>216</v>
      </c>
    </row>
    <row r="11" customFormat="false" ht="36" hidden="false" customHeight="true" outlineLevel="0" collapsed="false">
      <c r="A11" s="5" t="n">
        <v>7</v>
      </c>
      <c r="B11" s="51" t="s">
        <v>217</v>
      </c>
      <c r="C11" s="7" t="s">
        <v>218</v>
      </c>
      <c r="D11" s="7" t="s">
        <v>219</v>
      </c>
      <c r="E11" s="7" t="s">
        <v>220</v>
      </c>
      <c r="F11" s="7" t="s">
        <v>221</v>
      </c>
      <c r="G11" s="7" t="s">
        <v>222</v>
      </c>
    </row>
    <row r="12" customFormat="false" ht="36" hidden="false" customHeight="true" outlineLevel="0" collapsed="false">
      <c r="A12" s="8" t="n">
        <v>8</v>
      </c>
      <c r="B12" s="52" t="s">
        <v>223</v>
      </c>
      <c r="C12" s="10" t="s">
        <v>224</v>
      </c>
      <c r="D12" s="10" t="s">
        <v>225</v>
      </c>
      <c r="E12" s="10" t="s">
        <v>226</v>
      </c>
      <c r="F12" s="10" t="s">
        <v>58</v>
      </c>
      <c r="G12" s="10" t="s">
        <v>227</v>
      </c>
    </row>
    <row r="13" customFormat="false" ht="36" hidden="false" customHeight="true" outlineLevel="0" collapsed="false">
      <c r="A13" s="5" t="n">
        <v>9</v>
      </c>
      <c r="B13" s="51" t="s">
        <v>228</v>
      </c>
      <c r="C13" s="7" t="s">
        <v>229</v>
      </c>
      <c r="D13" s="7" t="s">
        <v>230</v>
      </c>
      <c r="E13" s="7" t="s">
        <v>231</v>
      </c>
      <c r="F13" s="7" t="s">
        <v>232</v>
      </c>
      <c r="G13" s="7" t="s">
        <v>233</v>
      </c>
    </row>
    <row r="14" customFormat="false" ht="36" hidden="false" customHeight="true" outlineLevel="0" collapsed="false">
      <c r="A14" s="8" t="n">
        <v>10</v>
      </c>
      <c r="B14" s="52" t="s">
        <v>234</v>
      </c>
      <c r="C14" s="10" t="s">
        <v>235</v>
      </c>
      <c r="D14" s="10" t="s">
        <v>207</v>
      </c>
      <c r="E14" s="10" t="s">
        <v>236</v>
      </c>
      <c r="F14" s="10" t="s">
        <v>237</v>
      </c>
      <c r="G14" s="10" t="s">
        <v>238</v>
      </c>
    </row>
    <row r="16" customFormat="false" ht="21.75" hidden="false" customHeight="true" outlineLevel="0" collapsed="false">
      <c r="A16" s="11" t="s">
        <v>239</v>
      </c>
      <c r="B16" s="11"/>
      <c r="C16" s="11"/>
      <c r="D16" s="11"/>
      <c r="E16" s="11"/>
      <c r="F16" s="11"/>
      <c r="G16" s="11"/>
    </row>
    <row r="17" customFormat="false" ht="19.5" hidden="false" customHeight="true" outlineLevel="0" collapsed="false">
      <c r="A17" s="12" t="s">
        <v>3</v>
      </c>
      <c r="B17" s="12" t="s">
        <v>240</v>
      </c>
      <c r="C17" s="12" t="s">
        <v>241</v>
      </c>
      <c r="D17" s="12" t="s">
        <v>242</v>
      </c>
      <c r="E17" s="12" t="s">
        <v>243</v>
      </c>
      <c r="F17" s="12" t="s">
        <v>244</v>
      </c>
      <c r="G17" s="12" t="s">
        <v>245</v>
      </c>
    </row>
    <row r="18" customFormat="false" ht="36" hidden="false" customHeight="true" outlineLevel="0" collapsed="false">
      <c r="A18" s="5" t="n">
        <v>1</v>
      </c>
      <c r="B18" s="13" t="s">
        <v>246</v>
      </c>
      <c r="C18" s="7" t="s">
        <v>247</v>
      </c>
      <c r="D18" s="7" t="s">
        <v>248</v>
      </c>
      <c r="E18" s="7" t="s">
        <v>181</v>
      </c>
      <c r="F18" s="7" t="s">
        <v>249</v>
      </c>
      <c r="G18" s="7" t="s">
        <v>250</v>
      </c>
    </row>
    <row r="19" customFormat="false" ht="36" hidden="false" customHeight="true" outlineLevel="0" collapsed="false">
      <c r="A19" s="8" t="n">
        <v>2</v>
      </c>
      <c r="B19" s="14" t="s">
        <v>251</v>
      </c>
      <c r="C19" s="10" t="s">
        <v>252</v>
      </c>
      <c r="D19" s="10" t="s">
        <v>253</v>
      </c>
      <c r="E19" s="10" t="s">
        <v>187</v>
      </c>
      <c r="F19" s="10" t="s">
        <v>254</v>
      </c>
      <c r="G19" s="10" t="s">
        <v>255</v>
      </c>
    </row>
    <row r="20" customFormat="false" ht="36" hidden="false" customHeight="true" outlineLevel="0" collapsed="false">
      <c r="A20" s="5" t="n">
        <v>3</v>
      </c>
      <c r="B20" s="13" t="s">
        <v>256</v>
      </c>
      <c r="C20" s="7" t="s">
        <v>257</v>
      </c>
      <c r="D20" s="7" t="s">
        <v>258</v>
      </c>
      <c r="E20" s="7" t="s">
        <v>193</v>
      </c>
      <c r="F20" s="7" t="s">
        <v>259</v>
      </c>
      <c r="G20" s="7" t="s">
        <v>250</v>
      </c>
    </row>
    <row r="21" customFormat="false" ht="36" hidden="false" customHeight="true" outlineLevel="0" collapsed="false">
      <c r="A21" s="8" t="n">
        <v>4</v>
      </c>
      <c r="B21" s="14" t="s">
        <v>260</v>
      </c>
      <c r="C21" s="10" t="s">
        <v>261</v>
      </c>
      <c r="D21" s="10" t="s">
        <v>248</v>
      </c>
      <c r="E21" s="10" t="s">
        <v>199</v>
      </c>
      <c r="F21" s="10" t="s">
        <v>262</v>
      </c>
      <c r="G21" s="10" t="s">
        <v>263</v>
      </c>
    </row>
    <row r="22" customFormat="false" ht="36" hidden="false" customHeight="true" outlineLevel="0" collapsed="false">
      <c r="A22" s="5" t="n">
        <v>5</v>
      </c>
      <c r="B22" s="13" t="s">
        <v>264</v>
      </c>
      <c r="C22" s="7" t="s">
        <v>265</v>
      </c>
      <c r="D22" s="7" t="s">
        <v>266</v>
      </c>
      <c r="E22" s="7" t="s">
        <v>205</v>
      </c>
      <c r="F22" s="7" t="s">
        <v>267</v>
      </c>
      <c r="G22" s="7" t="s">
        <v>263</v>
      </c>
    </row>
    <row r="23" customFormat="false" ht="36" hidden="false" customHeight="true" outlineLevel="0" collapsed="false">
      <c r="A23" s="8" t="n">
        <v>6</v>
      </c>
      <c r="B23" s="14" t="s">
        <v>268</v>
      </c>
      <c r="C23" s="10" t="s">
        <v>269</v>
      </c>
      <c r="D23" s="10" t="s">
        <v>248</v>
      </c>
      <c r="E23" s="10" t="s">
        <v>228</v>
      </c>
      <c r="F23" s="10" t="s">
        <v>270</v>
      </c>
      <c r="G23" s="10" t="s">
        <v>250</v>
      </c>
    </row>
    <row r="24" customFormat="false" ht="36" hidden="false" customHeight="true" outlineLevel="0" collapsed="false">
      <c r="A24" s="5" t="n">
        <v>7</v>
      </c>
      <c r="B24" s="13" t="s">
        <v>271</v>
      </c>
      <c r="C24" s="7" t="s">
        <v>272</v>
      </c>
      <c r="D24" s="7" t="s">
        <v>266</v>
      </c>
      <c r="E24" s="7" t="s">
        <v>273</v>
      </c>
      <c r="F24" s="7" t="s">
        <v>274</v>
      </c>
      <c r="G24" s="7" t="s">
        <v>250</v>
      </c>
    </row>
    <row r="25" customFormat="false" ht="36" hidden="false" customHeight="true" outlineLevel="0" collapsed="false">
      <c r="A25" s="8" t="n">
        <v>8</v>
      </c>
      <c r="B25" s="14" t="s">
        <v>275</v>
      </c>
      <c r="C25" s="10" t="s">
        <v>276</v>
      </c>
      <c r="D25" s="10" t="s">
        <v>277</v>
      </c>
      <c r="E25" s="10" t="s">
        <v>278</v>
      </c>
      <c r="F25" s="10" t="s">
        <v>279</v>
      </c>
      <c r="G25" s="10" t="s">
        <v>280</v>
      </c>
    </row>
  </sheetData>
  <mergeCells count="4">
    <mergeCell ref="A1:G1"/>
    <mergeCell ref="A2:G2"/>
    <mergeCell ref="A3:G3"/>
    <mergeCell ref="A16:G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8" min="8" style="0" width="18"/>
  </cols>
  <sheetData>
    <row r="1" customFormat="false" ht="30" hidden="false" customHeight="true" outlineLevel="0" collapsed="false">
      <c r="A1" s="1" t="s">
        <v>281</v>
      </c>
      <c r="B1" s="1"/>
      <c r="C1" s="1"/>
      <c r="D1" s="1"/>
      <c r="E1" s="1"/>
      <c r="F1" s="1"/>
      <c r="G1" s="1"/>
      <c r="H1" s="1"/>
    </row>
    <row r="3" customFormat="false" ht="21.75" hidden="false" customHeight="true" outlineLevel="0" collapsed="false">
      <c r="A3" s="3" t="s">
        <v>282</v>
      </c>
      <c r="B3" s="3"/>
      <c r="C3" s="3"/>
      <c r="D3" s="3"/>
      <c r="E3" s="3"/>
      <c r="F3" s="3"/>
      <c r="G3" s="3"/>
      <c r="H3" s="3"/>
    </row>
    <row r="4" customFormat="false" ht="27.75" hidden="false" customHeight="true" outlineLevel="0" collapsed="false">
      <c r="A4" s="4" t="s">
        <v>3</v>
      </c>
      <c r="B4" s="4" t="s">
        <v>283</v>
      </c>
      <c r="C4" s="4" t="s">
        <v>284</v>
      </c>
      <c r="D4" s="4" t="s">
        <v>285</v>
      </c>
      <c r="E4" s="4" t="s">
        <v>286</v>
      </c>
      <c r="F4" s="4" t="s">
        <v>287</v>
      </c>
      <c r="G4" s="4" t="s">
        <v>288</v>
      </c>
      <c r="H4" s="4" t="s">
        <v>289</v>
      </c>
    </row>
    <row r="5" customFormat="false" ht="36" hidden="false" customHeight="true" outlineLevel="0" collapsed="false">
      <c r="A5" s="5" t="n">
        <v>1</v>
      </c>
      <c r="B5" s="6" t="s">
        <v>290</v>
      </c>
      <c r="C5" s="7" t="s">
        <v>291</v>
      </c>
      <c r="D5" s="5" t="n">
        <v>1</v>
      </c>
      <c r="E5" s="53" t="n">
        <v>1</v>
      </c>
      <c r="F5" s="5" t="n">
        <v>10</v>
      </c>
      <c r="G5" s="54" t="n">
        <v>800</v>
      </c>
      <c r="H5" s="54" t="n">
        <f aca="false">D5*F5*G5</f>
        <v>8000</v>
      </c>
    </row>
    <row r="6" customFormat="false" ht="36" hidden="false" customHeight="true" outlineLevel="0" collapsed="false">
      <c r="A6" s="8" t="n">
        <v>2</v>
      </c>
      <c r="B6" s="9" t="s">
        <v>292</v>
      </c>
      <c r="C6" s="10" t="s">
        <v>293</v>
      </c>
      <c r="D6" s="8" t="n">
        <v>1</v>
      </c>
      <c r="E6" s="55" t="n">
        <v>1</v>
      </c>
      <c r="F6" s="8" t="n">
        <v>7</v>
      </c>
      <c r="G6" s="56" t="n">
        <v>700</v>
      </c>
      <c r="H6" s="56" t="n">
        <f aca="false">D6*F6*G6</f>
        <v>4900</v>
      </c>
    </row>
    <row r="7" customFormat="false" ht="36" hidden="false" customHeight="true" outlineLevel="0" collapsed="false">
      <c r="A7" s="5" t="n">
        <v>3</v>
      </c>
      <c r="B7" s="6" t="s">
        <v>294</v>
      </c>
      <c r="C7" s="7" t="s">
        <v>295</v>
      </c>
      <c r="D7" s="5" t="n">
        <v>1</v>
      </c>
      <c r="E7" s="53" t="n">
        <v>0.8</v>
      </c>
      <c r="F7" s="5" t="n">
        <v>8</v>
      </c>
      <c r="G7" s="54" t="n">
        <v>640</v>
      </c>
      <c r="H7" s="54" t="n">
        <f aca="false">D7*F7*G7</f>
        <v>5120</v>
      </c>
    </row>
    <row r="8" customFormat="false" ht="36" hidden="false" customHeight="true" outlineLevel="0" collapsed="false">
      <c r="A8" s="8" t="n">
        <v>4</v>
      </c>
      <c r="B8" s="9" t="s">
        <v>296</v>
      </c>
      <c r="C8" s="10" t="s">
        <v>297</v>
      </c>
      <c r="D8" s="8" t="n">
        <v>1</v>
      </c>
      <c r="E8" s="55" t="n">
        <v>0.5</v>
      </c>
      <c r="F8" s="8" t="n">
        <v>4</v>
      </c>
      <c r="G8" s="56" t="n">
        <v>400</v>
      </c>
      <c r="H8" s="56" t="n">
        <f aca="false">D8*F8*G8</f>
        <v>1600</v>
      </c>
    </row>
    <row r="9" customFormat="false" ht="36" hidden="false" customHeight="true" outlineLevel="0" collapsed="false">
      <c r="A9" s="5" t="n">
        <v>5</v>
      </c>
      <c r="B9" s="6" t="s">
        <v>298</v>
      </c>
      <c r="C9" s="7" t="s">
        <v>299</v>
      </c>
      <c r="D9" s="5" t="n">
        <v>1</v>
      </c>
      <c r="E9" s="53" t="n">
        <v>0.4</v>
      </c>
      <c r="F9" s="5" t="n">
        <v>3</v>
      </c>
      <c r="G9" s="54" t="n">
        <v>320</v>
      </c>
      <c r="H9" s="54" t="n">
        <f aca="false">D9*F9*G9</f>
        <v>960</v>
      </c>
    </row>
    <row r="10" customFormat="false" ht="36" hidden="false" customHeight="true" outlineLevel="0" collapsed="false">
      <c r="A10" s="8" t="n">
        <v>6</v>
      </c>
      <c r="B10" s="9" t="s">
        <v>300</v>
      </c>
      <c r="C10" s="10" t="s">
        <v>301</v>
      </c>
      <c r="D10" s="8" t="n">
        <v>1</v>
      </c>
      <c r="E10" s="55" t="n">
        <v>0.3</v>
      </c>
      <c r="F10" s="8" t="n">
        <v>4</v>
      </c>
      <c r="G10" s="56" t="n">
        <v>480</v>
      </c>
      <c r="H10" s="56" t="n">
        <f aca="false">D10*F10*G10</f>
        <v>1920</v>
      </c>
    </row>
    <row r="11" customFormat="false" ht="21.75" hidden="false" customHeight="true" outlineLevel="0" collapsed="false">
      <c r="A11" s="35" t="s">
        <v>302</v>
      </c>
      <c r="B11" s="35"/>
      <c r="C11" s="35"/>
      <c r="D11" s="36" t="n">
        <f aca="false">SUM(D5:D10)</f>
        <v>6</v>
      </c>
      <c r="E11" s="57"/>
      <c r="F11" s="57"/>
      <c r="G11" s="57"/>
      <c r="H11" s="58" t="n">
        <f aca="false">SUM(H5:H10)</f>
        <v>22500</v>
      </c>
    </row>
    <row r="13" customFormat="false" ht="21.75" hidden="false" customHeight="true" outlineLevel="0" collapsed="false">
      <c r="A13" s="11" t="s">
        <v>303</v>
      </c>
      <c r="B13" s="11"/>
      <c r="C13" s="11"/>
      <c r="D13" s="11"/>
      <c r="E13" s="11"/>
      <c r="F13" s="11"/>
      <c r="G13" s="11"/>
      <c r="H13" s="11"/>
    </row>
    <row r="14" customFormat="false" ht="27.75" hidden="false" customHeight="true" outlineLevel="0" collapsed="false">
      <c r="A14" s="12" t="s">
        <v>3</v>
      </c>
      <c r="B14" s="12" t="s">
        <v>304</v>
      </c>
      <c r="C14" s="12" t="s">
        <v>305</v>
      </c>
      <c r="D14" s="12" t="s">
        <v>306</v>
      </c>
      <c r="E14" s="12" t="s">
        <v>307</v>
      </c>
      <c r="F14" s="12" t="s">
        <v>308</v>
      </c>
      <c r="G14" s="12" t="s">
        <v>309</v>
      </c>
      <c r="H14" s="12" t="s">
        <v>310</v>
      </c>
    </row>
    <row r="15" customFormat="false" ht="30" hidden="false" customHeight="true" outlineLevel="0" collapsed="false">
      <c r="A15" s="59" t="n">
        <v>1</v>
      </c>
      <c r="B15" s="60" t="s">
        <v>80</v>
      </c>
      <c r="C15" s="61" t="s">
        <v>311</v>
      </c>
      <c r="D15" s="59" t="n">
        <v>7</v>
      </c>
      <c r="E15" s="59" t="s">
        <v>312</v>
      </c>
      <c r="F15" s="62" t="s">
        <v>313</v>
      </c>
      <c r="G15" s="61" t="s">
        <v>314</v>
      </c>
      <c r="H15" s="61" t="s">
        <v>315</v>
      </c>
    </row>
    <row r="16" customFormat="false" ht="30" hidden="false" customHeight="true" outlineLevel="0" collapsed="false">
      <c r="A16" s="63" t="n">
        <v>2</v>
      </c>
      <c r="B16" s="64" t="s">
        <v>91</v>
      </c>
      <c r="C16" s="65" t="s">
        <v>316</v>
      </c>
      <c r="D16" s="63" t="n">
        <v>9</v>
      </c>
      <c r="E16" s="63" t="s">
        <v>317</v>
      </c>
      <c r="F16" s="66" t="s">
        <v>318</v>
      </c>
      <c r="G16" s="65" t="s">
        <v>314</v>
      </c>
      <c r="H16" s="65" t="s">
        <v>319</v>
      </c>
    </row>
    <row r="17" customFormat="false" ht="30" hidden="false" customHeight="true" outlineLevel="0" collapsed="false">
      <c r="A17" s="59" t="n">
        <v>3</v>
      </c>
      <c r="B17" s="60" t="s">
        <v>104</v>
      </c>
      <c r="C17" s="61" t="s">
        <v>320</v>
      </c>
      <c r="D17" s="59" t="n">
        <v>21</v>
      </c>
      <c r="E17" s="59" t="s">
        <v>321</v>
      </c>
      <c r="F17" s="62" t="s">
        <v>322</v>
      </c>
      <c r="G17" s="61" t="s">
        <v>323</v>
      </c>
      <c r="H17" s="61" t="s">
        <v>324</v>
      </c>
    </row>
    <row r="18" customFormat="false" ht="30" hidden="false" customHeight="true" outlineLevel="0" collapsed="false">
      <c r="A18" s="63" t="n">
        <v>4</v>
      </c>
      <c r="B18" s="64" t="s">
        <v>127</v>
      </c>
      <c r="C18" s="65" t="s">
        <v>325</v>
      </c>
      <c r="D18" s="63" t="n">
        <v>10</v>
      </c>
      <c r="E18" s="63" t="s">
        <v>326</v>
      </c>
      <c r="F18" s="66" t="s">
        <v>327</v>
      </c>
      <c r="G18" s="65" t="s">
        <v>148</v>
      </c>
      <c r="H18" s="65" t="s">
        <v>328</v>
      </c>
    </row>
    <row r="19" customFormat="false" ht="30" hidden="false" customHeight="true" outlineLevel="0" collapsed="false">
      <c r="A19" s="59" t="n">
        <v>5</v>
      </c>
      <c r="B19" s="60" t="s">
        <v>140</v>
      </c>
      <c r="C19" s="61" t="s">
        <v>329</v>
      </c>
      <c r="D19" s="59" t="n">
        <v>5</v>
      </c>
      <c r="E19" s="59" t="s">
        <v>330</v>
      </c>
      <c r="F19" s="62" t="s">
        <v>331</v>
      </c>
      <c r="G19" s="61" t="s">
        <v>332</v>
      </c>
      <c r="H19" s="61" t="s">
        <v>150</v>
      </c>
    </row>
    <row r="20" customFormat="false" ht="21.75" hidden="false" customHeight="true" outlineLevel="0" collapsed="false">
      <c r="A20" s="35" t="s">
        <v>333</v>
      </c>
      <c r="B20" s="35"/>
      <c r="C20" s="35"/>
      <c r="D20" s="67" t="n">
        <f aca="false">SUM(D15:D19)</f>
        <v>52</v>
      </c>
      <c r="E20" s="36" t="s">
        <v>334</v>
      </c>
      <c r="F20" s="57"/>
      <c r="G20" s="57"/>
      <c r="H20" s="57"/>
    </row>
  </sheetData>
  <mergeCells count="5">
    <mergeCell ref="A1:H1"/>
    <mergeCell ref="A3:H3"/>
    <mergeCell ref="A11:C11"/>
    <mergeCell ref="A13:H13"/>
    <mergeCell ref="A20:C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2026-05-29T20:02:18Z</dcterms:created>
  <dc:creator>openpyxl</dc:creator>
  <dc:description/>
  <dc:language>en-US</dc:language>
  <cp:lastModifiedBy/>
  <dcterms:modified xsi:type="dcterms:W3CDTF">2026-05-29T20:02:18Z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
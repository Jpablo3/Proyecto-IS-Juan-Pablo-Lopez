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blo\Desktop\final ingenieria de software\"/>
    </mc:Choice>
  </mc:AlternateContent>
  <bookViews>
    <workbookView xWindow="0" yWindow="0" windowWidth="38400" windowHeight="17835" tabRatio="500"/>
  </bookViews>
  <sheets>
    <sheet name="1. Hechos y Dimensiones" sheetId="1" r:id="rId1"/>
    <sheet name="2. Actividades y Estimación" sheetId="2" r:id="rId2"/>
    <sheet name="3. Cronograma" sheetId="3" r:id="rId3"/>
    <sheet name="4. BD Transaccional y Stage" sheetId="4" r:id="rId4"/>
    <sheet name="5. Recursos y Tiempo" sheetId="5" r:id="rId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6" i="2" l="1"/>
  <c r="D20" i="5"/>
  <c r="D11" i="5"/>
  <c r="H10" i="5"/>
  <c r="H9" i="5"/>
  <c r="H8" i="5"/>
  <c r="H7" i="5"/>
  <c r="H6" i="5"/>
  <c r="H5" i="5"/>
  <c r="H11" i="5" s="1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<sst xmlns="http://schemas.openxmlformats.org/spreadsheetml/2006/main" count="441" uniqueCount="334">
  <si>
    <t>Sistema: App Web Gestión de Inventario y Ventas – Farmacia  |  Metodología: XP</t>
  </si>
  <si>
    <t>TABLAS DE HECHOS (FACT TABLES)</t>
  </si>
  <si>
    <t>#</t>
  </si>
  <si>
    <t>Tabla de Hechos</t>
  </si>
  <si>
    <t>Descripción</t>
  </si>
  <si>
    <t>Métricas Clave (Measures)</t>
  </si>
  <si>
    <t>Granularidad</t>
  </si>
  <si>
    <t>Fuente Transaccional</t>
  </si>
  <si>
    <t>FACT_VENTAS</t>
  </si>
  <si>
    <t>Registra cada transacción de venta realizada en la farmacia</t>
  </si>
  <si>
    <t>monto_total, cantidad_vendida, descuento, impuesto, utilidad_bruta</t>
  </si>
  <si>
    <t>1 fila por línea de producto por venta</t>
  </si>
  <si>
    <t>tabla Ventas / DetalleVenta</t>
  </si>
  <si>
    <t>FACT_INVENTARIO</t>
  </si>
  <si>
    <t>Captura el estado del inventario por medicamento y fecha</t>
  </si>
  <si>
    <t>stock_actual, stock_minimo, stock_maximo, unidades_ingresadas, unidades_salidas</t>
  </si>
  <si>
    <t>1 fila por medicamento por día</t>
  </si>
  <si>
    <t>tabla Inventario / Medicamento</t>
  </si>
  <si>
    <t>FACT_PEDIDOS</t>
  </si>
  <si>
    <t>Registra pedidos realizados a proveedores</t>
  </si>
  <si>
    <t>cantidad_pedida, costo_unitario, monto_pedido, dias_entrega</t>
  </si>
  <si>
    <t>1 fila por línea de pedido</t>
  </si>
  <si>
    <t>tabla Pedido / DetallePedido</t>
  </si>
  <si>
    <t>FACT_CLIENTES</t>
  </si>
  <si>
    <t>Analiza el comportamiento de compra por cliente</t>
  </si>
  <si>
    <t>total_compras, frecuencia_visitas, ticket_promedio, puntos_acumulados</t>
  </si>
  <si>
    <t>1 fila por cliente por período</t>
  </si>
  <si>
    <t>tabla Cliente / Venta</t>
  </si>
  <si>
    <t>FACT_ALERTAS_STOCK</t>
  </si>
  <si>
    <t>Registra eventos de stock bajo o quiebre de inventario</t>
  </si>
  <si>
    <t>dias_sin_stock, unidades_faltantes, ventas_perdidas_estimadas</t>
  </si>
  <si>
    <t>1 fila por medicamento por evento</t>
  </si>
  <si>
    <t>tabla Inventario / Alerta</t>
  </si>
  <si>
    <t>TABLAS DE DIMENSIONES (DIMENSION TABLES)</t>
  </si>
  <si>
    <t>Dimensión</t>
  </si>
  <si>
    <t>Atributos Clave</t>
  </si>
  <si>
    <t>Tipo SCD</t>
  </si>
  <si>
    <t>Tabla Origen</t>
  </si>
  <si>
    <t>DIM_TIEMPO</t>
  </si>
  <si>
    <t>Dimensión temporal para análisis por fecha</t>
  </si>
  <si>
    <t>fecha, dia, semana, mes, trimestre, anio, dia_semana, es_fin_semana, es_feriado</t>
  </si>
  <si>
    <t>Tipo 1 (SCD1)</t>
  </si>
  <si>
    <t>Generada automáticamente</t>
  </si>
  <si>
    <t>DIM_MEDICAMENTO</t>
  </si>
  <si>
    <t>Catálogo completo de medicamentos</t>
  </si>
  <si>
    <t>id_medicamento, nombre, descripcion, laboratorio, categoria, principio_activo, presentacion, requiere_receta</t>
  </si>
  <si>
    <t>Tipo 2 (SCD2)</t>
  </si>
  <si>
    <t>tabla Medicamento</t>
  </si>
  <si>
    <t>DIM_CLIENTE</t>
  </si>
  <si>
    <t>Información de los clientes de la farmacia</t>
  </si>
  <si>
    <t>id_cliente, nombre, apellido, dpi, telefono, email, fecha_registro, tipo_cliente</t>
  </si>
  <si>
    <t>tabla Cliente</t>
  </si>
  <si>
    <t>DIM_USUARIO</t>
  </si>
  <si>
    <t>Usuarios del sistema y sus roles</t>
  </si>
  <si>
    <t>id_usuario, nombre, apellido, rol, estado, fecha_ingreso</t>
  </si>
  <si>
    <t>tabla Usuario / Rol</t>
  </si>
  <si>
    <t>DIM_PROVEEDOR</t>
  </si>
  <si>
    <t>Proveedores de medicamentos</t>
  </si>
  <si>
    <t>id_proveedor, nombre, contacto, telefono, email, pais, tiempo_entrega_promedio</t>
  </si>
  <si>
    <t>tabla Proveedor</t>
  </si>
  <si>
    <t>DIM_CATEGORIA</t>
  </si>
  <si>
    <t>Clasificación terapéutica de medicamentos</t>
  </si>
  <si>
    <t>id_categoria, nombre_categoria, descripcion, requiere_control_especial</t>
  </si>
  <si>
    <t>tabla Categoria</t>
  </si>
  <si>
    <t>DIM_SUCURSAL</t>
  </si>
  <si>
    <t>Sucursal o punto de venta (escalabilidad)</t>
  </si>
  <si>
    <t>id_sucursal, nombre, direccion, telefono, encargado, estado</t>
  </si>
  <si>
    <t>tabla Sucursal (futura)</t>
  </si>
  <si>
    <t>Estimación de duración basada en equipo de 3 personas (1 Líder DW, 1 Ing. ETL, 1 DBA)</t>
  </si>
  <si>
    <t>PLAN DE ACTIVIDADES – CONSTRUCCIÓN DEL DATA WAREHOUSE</t>
  </si>
  <si>
    <t>Fase</t>
  </si>
  <si>
    <t>Actividad</t>
  </si>
  <si>
    <t>Responsable</t>
  </si>
  <si>
    <t>Días
Estimados</t>
  </si>
  <si>
    <t>Días
Reales</t>
  </si>
  <si>
    <t>% Avance</t>
  </si>
  <si>
    <t>Dependencia</t>
  </si>
  <si>
    <t>Entregable</t>
  </si>
  <si>
    <t>F1 – Análisis</t>
  </si>
  <si>
    <t>Análisis de requerimientos DW</t>
  </si>
  <si>
    <t>Líder DW</t>
  </si>
  <si>
    <t>—</t>
  </si>
  <si>
    <t>Documento de requerimientos</t>
  </si>
  <si>
    <t>Revisión del modelo transaccional</t>
  </si>
  <si>
    <t>DBA</t>
  </si>
  <si>
    <t>F1.1</t>
  </si>
  <si>
    <t>Inventario de fuentes</t>
  </si>
  <si>
    <t>Definición de KPIs y métricas</t>
  </si>
  <si>
    <t>Catálogo de KPIs</t>
  </si>
  <si>
    <t>F2 – Diseño</t>
  </si>
  <si>
    <t>Modelado dimensional (estrella/copo)</t>
  </si>
  <si>
    <t>F1.3</t>
  </si>
  <si>
    <t>Diagrama ER dimensional</t>
  </si>
  <si>
    <t>Definición de tablas FACT y DIM</t>
  </si>
  <si>
    <t>F2.1</t>
  </si>
  <si>
    <t>Modelo lógico DW</t>
  </si>
  <si>
    <t>Diseño base de datos Stage</t>
  </si>
  <si>
    <t>F2.2</t>
  </si>
  <si>
    <t>DDL Stage DB</t>
  </si>
  <si>
    <t>Diseño base de datos DW</t>
  </si>
  <si>
    <t>F2.3</t>
  </si>
  <si>
    <t>DDL DW DB</t>
  </si>
  <si>
    <t>F3 – Desarrollo</t>
  </si>
  <si>
    <t>Creación del schema Stage (SQL)</t>
  </si>
  <si>
    <t>F2.4</t>
  </si>
  <si>
    <t>Scripts DDL Stage</t>
  </si>
  <si>
    <t>Creación del schema DW (SQL)</t>
  </si>
  <si>
    <t>F3.1</t>
  </si>
  <si>
    <t>Scripts DDL DW</t>
  </si>
  <si>
    <t>ETL: Extracción desde OLTP</t>
  </si>
  <si>
    <t>Ing. ETL</t>
  </si>
  <si>
    <t>F3.2</t>
  </si>
  <si>
    <t>Jobs de extracción</t>
  </si>
  <si>
    <t>ETL: Transformación y limpieza</t>
  </si>
  <si>
    <t>F3.3</t>
  </si>
  <si>
    <t>Jobs de transformación</t>
  </si>
  <si>
    <t>ETL: Carga a DW (dimensiones)</t>
  </si>
  <si>
    <t>F3.4</t>
  </si>
  <si>
    <t>Jobs de carga DIM</t>
  </si>
  <si>
    <t>ETL: Carga a DW (hechos)</t>
  </si>
  <si>
    <t>F3.5</t>
  </si>
  <si>
    <t>Jobs de carga FACT</t>
  </si>
  <si>
    <t>Orquestación y scheduling ETL</t>
  </si>
  <si>
    <t>F3.6</t>
  </si>
  <si>
    <t>Pipeline automatizado</t>
  </si>
  <si>
    <t>F4 – Pruebas</t>
  </si>
  <si>
    <t>Validación de datos Stage vs OLTP</t>
  </si>
  <si>
    <t>F3.7</t>
  </si>
  <si>
    <t>Reporte de calidad Stage</t>
  </si>
  <si>
    <t>Validación de datos DW vs Stage</t>
  </si>
  <si>
    <t>F4.1</t>
  </si>
  <si>
    <t>Reporte de calidad DW</t>
  </si>
  <si>
    <t>Pruebas de performance y carga</t>
  </si>
  <si>
    <t>F4.2</t>
  </si>
  <si>
    <t>Informe de rendimiento</t>
  </si>
  <si>
    <t>UAT con usuario final</t>
  </si>
  <si>
    <t>F4.3</t>
  </si>
  <si>
    <t>Acta de aceptación</t>
  </si>
  <si>
    <t>F5 – Despliegue</t>
  </si>
  <si>
    <t>Documentación técnica DW</t>
  </si>
  <si>
    <t>F4.4</t>
  </si>
  <si>
    <t>Manual técnico</t>
  </si>
  <si>
    <t>Capacitación al equipo</t>
  </si>
  <si>
    <t>F5.1</t>
  </si>
  <si>
    <t>Material de capacitación</t>
  </si>
  <si>
    <t>Puesta en producción</t>
  </si>
  <si>
    <t>Todos</t>
  </si>
  <si>
    <t>F5.2</t>
  </si>
  <si>
    <t>DW en producción</t>
  </si>
  <si>
    <t>TOTAL DÍAS ESTIMADOS</t>
  </si>
  <si>
    <t>Duración total estimada: 10 semanas  |  Inicio sugerido: Semana 1  |  Fin estimado: Semana 10</t>
  </si>
  <si>
    <t>Días</t>
  </si>
  <si>
    <t>Sem
Inicio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</si>
  <si>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</si>
  <si>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</si>
  <si>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</si>
  <si>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</si>
  <si>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</si>
  <si>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</si>
  <si>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</si>
  <si>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</si>
  <si>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</si>
  <si>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</si>
  <si>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Modelado dimensional (estrella)</t>
  </si>
  <si>
    <t>Validación Stage vs OLTP</t>
  </si>
  <si>
    <t>Validación DW vs Stage</t>
  </si>
  <si>
    <t>Pruebas de performance</t>
  </si>
  <si>
    <t>Documentación técnica</t>
  </si>
  <si>
    <t>Capacitación y puesta en producción</t>
  </si>
  <si>
    <t>La BD Transaccional (OLTP) almacena las operaciones diarias. La capa Stage es área temporal de preparación para el DW.</t>
  </si>
  <si>
    <t>SECCIÓN A: BASE DE DATOS TRANSACCIONAL (OLTP) – Farmacia DB</t>
  </si>
  <si>
    <t>Tabla OLTP</t>
  </si>
  <si>
    <t>Campos Principales</t>
  </si>
  <si>
    <t>Tipo Campo</t>
  </si>
  <si>
    <t>PK/FK</t>
  </si>
  <si>
    <t>Relaciones</t>
  </si>
  <si>
    <t>Medicamento</t>
  </si>
  <si>
    <t>id_medicamento, nombre, descripcion, precio_venta, precio_costo, requiere_receta, activo</t>
  </si>
  <si>
    <t>INT, VARCHAR, DECIMAL, BOOL</t>
  </si>
  <si>
    <t>PK: id_medicamento</t>
  </si>
  <si>
    <t>Catálogo maestro de medicamentos</t>
  </si>
  <si>
    <t>→ Inventario, → DetalleVenta, → DetallePedido</t>
  </si>
  <si>
    <t>Inventario</t>
  </si>
  <si>
    <t>id_inventario, id_medicamento, stock_actual, stock_minimo, stock_maximo, fecha_actualizacion</t>
  </si>
  <si>
    <t>INT, DECIMAL, DATETIME</t>
  </si>
  <si>
    <t>PK: id_inventario  FK: id_medicamento</t>
  </si>
  <si>
    <t>Control de existencias en tiempo real</t>
  </si>
  <si>
    <t>← Medicamento</t>
  </si>
  <si>
    <t>Cliente</t>
  </si>
  <si>
    <t>id_cliente, nombre, apellido, dpi, telefono, email, fecha_registro</t>
  </si>
  <si>
    <t>INT, VARCHAR, DATE</t>
  </si>
  <si>
    <t>PK: id_cliente</t>
  </si>
  <si>
    <t>Datos de los clientes</t>
  </si>
  <si>
    <t>→ Venta</t>
  </si>
  <si>
    <t>Venta</t>
  </si>
  <si>
    <t>id_venta, id_cliente, id_usuario, fecha_venta, total, descuento, estado</t>
  </si>
  <si>
    <t>INT, DECIMAL, DATETIME, VARCHAR</t>
  </si>
  <si>
    <t>PK: id_venta  FK: id_cliente, id_usuario</t>
  </si>
  <si>
    <t>Cabecera de cada transacción de venta</t>
  </si>
  <si>
    <t>← Cliente, ← Usuario, → DetalleVenta</t>
  </si>
  <si>
    <t>DetalleVenta</t>
  </si>
  <si>
    <t>id_detalle, id_venta, id_medicamento, cantidad, precio_unitario, subtotal</t>
  </si>
  <si>
    <t>INT, DECIMAL</t>
  </si>
  <si>
    <t>PK: id_detalle  FK: id_venta, id_medicamento</t>
  </si>
  <si>
    <t>Líneas de producto por venta</t>
  </si>
  <si>
    <t>← Venta, ← Medicamento</t>
  </si>
  <si>
    <t>Usuario</t>
  </si>
  <si>
    <t>id_usuario, nombre, apellido, username, password_hash, id_rol, activo, fecha_creacion</t>
  </si>
  <si>
    <t>INT, VARCHAR, BOOL, DATE</t>
  </si>
  <si>
    <t>PK: id_usuario  FK: id_rol</t>
  </si>
  <si>
    <t>Usuarios del sistema</t>
  </si>
  <si>
    <t>← Rol, → Venta</t>
  </si>
  <si>
    <t>Rol</t>
  </si>
  <si>
    <t>id_rol, nombre_rol, descripcion, permisos</t>
  </si>
  <si>
    <t>INT, VARCHAR, TEXT</t>
  </si>
  <si>
    <t>PK: id_rol</t>
  </si>
  <si>
    <t>Roles y permisos del sistema</t>
  </si>
  <si>
    <t>→ Usuario</t>
  </si>
  <si>
    <t>Proveedor</t>
  </si>
  <si>
    <t>id_proveedor, nombre, contacto, telefono, email, direccion, activo</t>
  </si>
  <si>
    <t>INT, VARCHAR, BOOL</t>
  </si>
  <si>
    <t>PK: id_proveedor</t>
  </si>
  <si>
    <t>→ Pedido</t>
  </si>
  <si>
    <t>Pedido</t>
  </si>
  <si>
    <t>id_pedido, id_proveedor, id_usuario, fecha_pedido, fecha_entrega, estado, total</t>
  </si>
  <si>
    <t>INT, DATE, VARCHAR, DECIMAL</t>
  </si>
  <si>
    <t>PK: id_pedido  FK: id_proveedor, id_usuario</t>
  </si>
  <si>
    <t>Órdenes de compra a proveedores</t>
  </si>
  <si>
    <t>← Proveedor, → DetallePedido</t>
  </si>
  <si>
    <t>DetallePedido</t>
  </si>
  <si>
    <t>id_detalle_pedido, id_pedido, id_medicamento, cantidad, precio_unitario</t>
  </si>
  <si>
    <t>PK: id_detalle_pedido  FK: id_pedido, id_medicamento</t>
  </si>
  <si>
    <t>Líneas de producto por pedido</t>
  </si>
  <si>
    <t>← Pedido, ← Medicamento</t>
  </si>
  <si>
    <t>SECCIÓN B: CAPA STAGE (ÁREA DE PREPARACIÓN ETL) – Stage DB</t>
  </si>
  <si>
    <t>Tabla Stage</t>
  </si>
  <si>
    <t>Columnas Principales</t>
  </si>
  <si>
    <t>Tipo</t>
  </si>
  <si>
    <t>Origen OLTP</t>
  </si>
  <si>
    <t>Transformaciones</t>
  </si>
  <si>
    <t>Frecuencia Carga</t>
  </si>
  <si>
    <t>STG_MEDICAMENTO</t>
  </si>
  <si>
    <t>id_medicamento, nombre, precio_venta, precio_costo, requiere_receta, fecha_carga, flag_nuevo</t>
  </si>
  <si>
    <t>Réplica + metadata</t>
  </si>
  <si>
    <t>Trim espacios, normalizar mayúsculas, validar precios &gt; 0</t>
  </si>
  <si>
    <t>Diaria</t>
  </si>
  <si>
    <t>STG_INVENTARIO</t>
  </si>
  <si>
    <t>id_medicamento, stock_actual, stock_minimo, fecha_actualizacion, fecha_carga, flag_alerta</t>
  </si>
  <si>
    <t>Réplica + flag</t>
  </si>
  <si>
    <t>Calcular flag_alerta si stock &lt; stock_minimo</t>
  </si>
  <si>
    <t>Cada hora</t>
  </si>
  <si>
    <t>STG_CLIENTE</t>
  </si>
  <si>
    <t>id_cliente, nombre, apellido, email, telefono, fecha_registro, fecha_carga, hash_registro</t>
  </si>
  <si>
    <t>Réplica + hash</t>
  </si>
  <si>
    <t>Normalizar nombre/apellido, validar email, generar hash para SCD2</t>
  </si>
  <si>
    <t>STG_VENTA</t>
  </si>
  <si>
    <t>id_venta, id_cliente, id_usuario, fecha_venta, total, estado, fecha_carga</t>
  </si>
  <si>
    <t>Filtrar solo ventas estado=COMPLETADA, formatear fechas</t>
  </si>
  <si>
    <t>Cada 15 min</t>
  </si>
  <si>
    <t>STG_DETALLE_VENTA</t>
  </si>
  <si>
    <t>id_detalle, id_venta, id_medicamento, cantidad, precio_unitario, subtotal, fecha_carga</t>
  </si>
  <si>
    <t>Réplica</t>
  </si>
  <si>
    <t>Recalcular subtotal, validar coherencia precio×cantidad</t>
  </si>
  <si>
    <t>STG_PEDIDO</t>
  </si>
  <si>
    <t>id_pedido, id_proveedor, fecha_pedido, fecha_entrega, estado, total, fecha_carga</t>
  </si>
  <si>
    <t>Calcular días_entrega = fecha_entrega - fecha_pedido</t>
  </si>
  <si>
    <t>STG_USUARIO</t>
  </si>
  <si>
    <t>id_usuario, nombre, apellido, id_rol, activo, fecha_carga</t>
  </si>
  <si>
    <t>Usuario / Rol</t>
  </si>
  <si>
    <t>Enmascarar password, validar roles activos</t>
  </si>
  <si>
    <t>STG_CONTROL_CARGA</t>
  </si>
  <si>
    <t>id_carga, tabla_origen, fecha_inicio, fecha_fin, registros_procesados, estado, errores</t>
  </si>
  <si>
    <t>Metadata ETL</t>
  </si>
  <si>
    <t>Log interno ETL</t>
  </si>
  <si>
    <t>Registro auditoría de cada proceso ETL</t>
  </si>
  <si>
    <t>Por ejecución</t>
  </si>
  <si>
    <t>👥  ESTIMACIÓN DE RECURSOS HUMANOS Y TIEMPO – DATA WAREHOUSE FARMACIA</t>
  </si>
  <si>
    <t>EQUIPO RECOMENDADO PARA EL DATA WAREHOUSE</t>
  </si>
  <si>
    <t>Rol / Perfil</t>
  </si>
  <si>
    <t>Responsabilidades Clave</t>
  </si>
  <si>
    <t>Cant.
Personas</t>
  </si>
  <si>
    <t>Dedicación
(%)</t>
  </si>
  <si>
    <t>Semanas
Asignadas</t>
  </si>
  <si>
    <t>Costo/Semana
(USD)</t>
  </si>
  <si>
    <t>Costo Total
(USD)</t>
  </si>
  <si>
    <t>Líder / Arquitecto DW</t>
  </si>
  <si>
    <t>Análisis, diseño dimensional, gestión del proyecto, UAT, documentación</t>
  </si>
  <si>
    <t>Ingeniero ETL</t>
  </si>
  <si>
    <t>Desarrollo de procesos ETL (extracción, transformación, carga), scheduling, pruebas</t>
  </si>
  <si>
    <t>DBA (Administrador BD)</t>
  </si>
  <si>
    <t>Diseño de schemas OLTP/Stage/DW, optimización, índices, seguridad, respaldos</t>
  </si>
  <si>
    <t>QA / Analista de Datos</t>
  </si>
  <si>
    <t>Validación de datos, pruebas de integridad, reconciliación OLTP vs DW</t>
  </si>
  <si>
    <t>Analista de Negocios (BI)</t>
  </si>
  <si>
    <t>Definición de KPIs, diseño de reportes, capacitación al usuario final</t>
  </si>
  <si>
    <t>DevOps / Infraestructura</t>
  </si>
  <si>
    <t>Configuración de servidores, CI/CD para ETL, monitoreo, ambientes</t>
  </si>
  <si>
    <t>TOTAL PERSONAS / COSTO ESTIMADO</t>
  </si>
  <si>
    <t>RESUMEN DE TIEMPO POR FASE</t>
  </si>
  <si>
    <t>Fase del Proyecto</t>
  </si>
  <si>
    <t>Actividades Incluidas</t>
  </si>
  <si>
    <t>Duración
(días)</t>
  </si>
  <si>
    <t>Semanas</t>
  </si>
  <si>
    <t>% del Total</t>
  </si>
  <si>
    <t>Equipo Involucrado</t>
  </si>
  <si>
    <t>Hito de Salida</t>
  </si>
  <si>
    <t>Requerimientos, revisión OLTP, KPIs</t>
  </si>
  <si>
    <t>1-2</t>
  </si>
  <si>
    <t>14%</t>
  </si>
  <si>
    <t>Líder DW, DBA</t>
  </si>
  <si>
    <t>Documento de análisis firmado</t>
  </si>
  <si>
    <t>Modelado dimensional, DDL Stage y DW</t>
  </si>
  <si>
    <t>2-3</t>
  </si>
  <si>
    <t>17%</t>
  </si>
  <si>
    <t>Modelos de datos aprobados</t>
  </si>
  <si>
    <t>ETL completo, schemas, orquestación</t>
  </si>
  <si>
    <t>4-7</t>
  </si>
  <si>
    <t>40%</t>
  </si>
  <si>
    <t>Ing. ETL, DBA</t>
  </si>
  <si>
    <t>Pipeline ETL en ambiente QA</t>
  </si>
  <si>
    <t>Validación datos, performance, UAT</t>
  </si>
  <si>
    <t>7-9</t>
  </si>
  <si>
    <t>19%</t>
  </si>
  <si>
    <t>Acta de aceptación UAT</t>
  </si>
  <si>
    <t>Documentación, capacitación, producción</t>
  </si>
  <si>
    <t>9-10</t>
  </si>
  <si>
    <t>10%</t>
  </si>
  <si>
    <t>Líder DW, Todos</t>
  </si>
  <si>
    <t>TOTAL  –  DURACIÓN ESTIMADA DEL PROYECTO DW</t>
  </si>
  <si>
    <t>10 semanas</t>
  </si>
  <si>
    <t>DATA WAREHOUSE – DEFINICIÓN DE HECHOS Y DIMENSIONES</t>
  </si>
  <si>
    <t>SECUENCIA DE ACTIVIDADES – DATA WAREHOUSE  |  App Farmacia</t>
  </si>
  <si>
    <t>CRONOGRAMA DE PROYECTO – DATA WAREHOUSE FARMACIA</t>
  </si>
  <si>
    <t>BASE DE DATOS TRANSACCIONAL (OLTP) Y CAPA STAGE – DATA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</si>
</sst>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2E75B6"/>
      <name val="Cambria"/>
      <charset val="1"/>
    </font>
    <font>
      <b/>
      <sz val="10"/>
      <name val="Arial"/>
      <family val="2"/>
    </font>
    <font>
      <b/>
      <sz val="14"/>
      <color rgb="FFFFFFF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BDD7EE"/>
        <bgColor rgb="FFC5E0B4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theme="1" tint="0.34998626667073579"/>
        <bgColor rgb="FF993300"/>
      </patternFill>
    </fill>
    <fill>
      <patternFill patternType="solid">
        <fgColor theme="3"/>
        <bgColor rgb="FFC5E0B4"/>
      </patternFill>
    </fill>
    <fill>
      <patternFill patternType="solid">
        <fgColor theme="3"/>
        <bgColor rgb="FFBDD7EE"/>
      </patternFill>
    </fill>
    <fill>
      <patternFill patternType="solid">
        <fgColor theme="3"/>
        <bgColor rgb="FFFFF2CC"/>
      </patternFill>
    </fill>
    <fill>
      <patternFill patternType="solid">
        <fgColor theme="3"/>
        <bgColor rgb="FFFCE4D6"/>
      </patternFill>
    </fill>
    <fill>
      <patternFill patternType="solid">
        <fgColor theme="3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1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9" fontId="4" fillId="8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9" fontId="4" fillId="9" borderId="2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9" fontId="4" fillId="10" borderId="2" xfId="0" applyNumberFormat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9" fontId="4" fillId="11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9" fontId="4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3" fillId="12" borderId="2" xfId="0" applyFont="1" applyFill="1" applyBorder="1" applyAlignment="1">
      <alignment horizontal="center" vertical="center" wrapText="1"/>
    </xf>
    <xf numFmtId="9" fontId="4" fillId="5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9" fontId="4" fillId="6" borderId="2" xfId="0" applyNumberFormat="1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164" fontId="6" fillId="2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/>
    <xf numFmtId="0" fontId="8" fillId="15" borderId="2" xfId="0" applyFont="1" applyFill="1" applyBorder="1"/>
    <xf numFmtId="0" fontId="8" fillId="16" borderId="2" xfId="0" applyFont="1" applyFill="1" applyBorder="1"/>
    <xf numFmtId="0" fontId="8" fillId="17" borderId="2" xfId="0" applyFont="1" applyFill="1" applyBorder="1"/>
    <xf numFmtId="0" fontId="8" fillId="18" borderId="2" xfId="0" applyFont="1" applyFill="1" applyBorder="1"/>
    <xf numFmtId="10" fontId="9" fillId="5" borderId="2" xfId="0" applyNumberFormat="1" applyFont="1" applyFill="1" applyBorder="1" applyAlignment="1">
      <alignment horizontal="center" vertical="center" wrapText="1"/>
    </xf>
    <xf numFmtId="10" fontId="9" fillId="6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C5E0B4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Normal="100" workbookViewId="0">
      <pane ySplit="3" topLeftCell="A4" activePane="bottomLeft" state="frozen"/>
      <selection pane="bottomLeft" activeCell="N15" sqref="N15"/>
    </sheetView>
  </sheetViews>
  <sheetFormatPr baseColWidth="10" defaultColWidth="8.7109375" defaultRowHeight="15" x14ac:dyDescent="0.25"/>
  <cols>
    <col min="1" max="1" width="5" customWidth="1"/>
    <col min="2" max="2" width="23" customWidth="1"/>
    <col min="3" max="3" width="37.42578125" customWidth="1"/>
    <col min="4" max="4" width="40.140625" customWidth="1"/>
    <col min="5" max="5" width="31.140625" customWidth="1"/>
    <col min="6" max="6" width="28.42578125" customWidth="1"/>
  </cols>
  <sheetData>
    <row r="1" spans="1:6" ht="30" customHeight="1" x14ac:dyDescent="0.25">
      <c r="A1" s="53" t="s">
        <v>330</v>
      </c>
      <c r="B1" s="5"/>
      <c r="C1" s="5"/>
      <c r="D1" s="5"/>
      <c r="E1" s="5"/>
      <c r="F1" s="5"/>
    </row>
    <row r="2" spans="1:6" ht="18" customHeight="1" x14ac:dyDescent="0.25">
      <c r="A2" s="52" t="s">
        <v>0</v>
      </c>
      <c r="B2" s="52"/>
      <c r="C2" s="52"/>
      <c r="D2" s="52"/>
      <c r="E2" s="52"/>
      <c r="F2" s="52"/>
    </row>
    <row r="4" spans="1:6" ht="21.75" customHeight="1" x14ac:dyDescent="0.25">
      <c r="A4" s="4" t="s">
        <v>1</v>
      </c>
      <c r="B4" s="4"/>
      <c r="C4" s="4"/>
      <c r="D4" s="4"/>
      <c r="E4" s="4"/>
      <c r="F4" s="4"/>
    </row>
    <row r="5" spans="1:6" ht="19.5" customHeight="1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</row>
    <row r="6" spans="1:6" ht="37.5" customHeight="1" x14ac:dyDescent="0.25">
      <c r="A6" s="7">
        <v>1</v>
      </c>
      <c r="B6" s="54" t="s">
        <v>8</v>
      </c>
      <c r="C6" s="8" t="s">
        <v>9</v>
      </c>
      <c r="D6" s="8" t="s">
        <v>10</v>
      </c>
      <c r="E6" s="8" t="s">
        <v>11</v>
      </c>
      <c r="F6" s="8" t="s">
        <v>12</v>
      </c>
    </row>
    <row r="7" spans="1:6" ht="37.5" customHeight="1" x14ac:dyDescent="0.25">
      <c r="A7" s="9">
        <v>2</v>
      </c>
      <c r="B7" s="55" t="s">
        <v>13</v>
      </c>
      <c r="C7" s="10" t="s">
        <v>14</v>
      </c>
      <c r="D7" s="10" t="s">
        <v>15</v>
      </c>
      <c r="E7" s="10" t="s">
        <v>16</v>
      </c>
      <c r="F7" s="10" t="s">
        <v>17</v>
      </c>
    </row>
    <row r="8" spans="1:6" ht="37.5" customHeight="1" x14ac:dyDescent="0.25">
      <c r="A8" s="7">
        <v>3</v>
      </c>
      <c r="B8" s="54" t="s">
        <v>18</v>
      </c>
      <c r="C8" s="8" t="s">
        <v>19</v>
      </c>
      <c r="D8" s="8" t="s">
        <v>20</v>
      </c>
      <c r="E8" s="8" t="s">
        <v>21</v>
      </c>
      <c r="F8" s="8" t="s">
        <v>22</v>
      </c>
    </row>
    <row r="9" spans="1:6" ht="37.5" customHeight="1" x14ac:dyDescent="0.25">
      <c r="A9" s="9">
        <v>4</v>
      </c>
      <c r="B9" s="55" t="s">
        <v>23</v>
      </c>
      <c r="C9" s="10" t="s">
        <v>24</v>
      </c>
      <c r="D9" s="10" t="s">
        <v>25</v>
      </c>
      <c r="E9" s="10" t="s">
        <v>26</v>
      </c>
      <c r="F9" s="10" t="s">
        <v>27</v>
      </c>
    </row>
    <row r="10" spans="1:6" ht="37.5" customHeight="1" x14ac:dyDescent="0.25">
      <c r="A10" s="7">
        <v>5</v>
      </c>
      <c r="B10" s="54" t="s">
        <v>28</v>
      </c>
      <c r="C10" s="8" t="s">
        <v>29</v>
      </c>
      <c r="D10" s="8" t="s">
        <v>30</v>
      </c>
      <c r="E10" s="8" t="s">
        <v>31</v>
      </c>
      <c r="F10" s="8" t="s">
        <v>32</v>
      </c>
    </row>
    <row r="12" spans="1:6" ht="21.75" customHeight="1" x14ac:dyDescent="0.25">
      <c r="A12" s="56" t="s">
        <v>33</v>
      </c>
      <c r="B12" s="56"/>
      <c r="C12" s="56"/>
      <c r="D12" s="56"/>
      <c r="E12" s="56"/>
      <c r="F12" s="56"/>
    </row>
    <row r="13" spans="1:6" ht="19.5" customHeight="1" x14ac:dyDescent="0.25">
      <c r="A13" s="57" t="s">
        <v>2</v>
      </c>
      <c r="B13" s="57" t="s">
        <v>34</v>
      </c>
      <c r="C13" s="57" t="s">
        <v>4</v>
      </c>
      <c r="D13" s="57" t="s">
        <v>35</v>
      </c>
      <c r="E13" s="57" t="s">
        <v>36</v>
      </c>
      <c r="F13" s="57" t="s">
        <v>37</v>
      </c>
    </row>
    <row r="14" spans="1:6" ht="37.5" customHeight="1" x14ac:dyDescent="0.25">
      <c r="A14" s="7">
        <v>1</v>
      </c>
      <c r="B14" s="54" t="s">
        <v>38</v>
      </c>
      <c r="C14" s="8" t="s">
        <v>39</v>
      </c>
      <c r="D14" s="8" t="s">
        <v>40</v>
      </c>
      <c r="E14" s="8" t="s">
        <v>41</v>
      </c>
      <c r="F14" s="8" t="s">
        <v>42</v>
      </c>
    </row>
    <row r="15" spans="1:6" ht="37.5" customHeight="1" x14ac:dyDescent="0.25">
      <c r="A15" s="9">
        <v>2</v>
      </c>
      <c r="B15" s="55" t="s">
        <v>43</v>
      </c>
      <c r="C15" s="10" t="s">
        <v>44</v>
      </c>
      <c r="D15" s="10" t="s">
        <v>45</v>
      </c>
      <c r="E15" s="10" t="s">
        <v>46</v>
      </c>
      <c r="F15" s="10" t="s">
        <v>47</v>
      </c>
    </row>
    <row r="16" spans="1:6" ht="37.5" customHeight="1" x14ac:dyDescent="0.25">
      <c r="A16" s="7">
        <v>3</v>
      </c>
      <c r="B16" s="54" t="s">
        <v>48</v>
      </c>
      <c r="C16" s="8" t="s">
        <v>49</v>
      </c>
      <c r="D16" s="8" t="s">
        <v>50</v>
      </c>
      <c r="E16" s="8" t="s">
        <v>46</v>
      </c>
      <c r="F16" s="8" t="s">
        <v>51</v>
      </c>
    </row>
    <row r="17" spans="1:6" ht="37.5" customHeight="1" x14ac:dyDescent="0.25">
      <c r="A17" s="9">
        <v>4</v>
      </c>
      <c r="B17" s="55" t="s">
        <v>52</v>
      </c>
      <c r="C17" s="10" t="s">
        <v>53</v>
      </c>
      <c r="D17" s="10" t="s">
        <v>54</v>
      </c>
      <c r="E17" s="10" t="s">
        <v>41</v>
      </c>
      <c r="F17" s="10" t="s">
        <v>55</v>
      </c>
    </row>
    <row r="18" spans="1:6" ht="37.5" customHeight="1" x14ac:dyDescent="0.25">
      <c r="A18" s="7">
        <v>5</v>
      </c>
      <c r="B18" s="54" t="s">
        <v>56</v>
      </c>
      <c r="C18" s="8" t="s">
        <v>57</v>
      </c>
      <c r="D18" s="8" t="s">
        <v>58</v>
      </c>
      <c r="E18" s="8" t="s">
        <v>41</v>
      </c>
      <c r="F18" s="8" t="s">
        <v>59</v>
      </c>
    </row>
    <row r="19" spans="1:6" ht="37.5" customHeight="1" x14ac:dyDescent="0.25">
      <c r="A19" s="9">
        <v>6</v>
      </c>
      <c r="B19" s="55" t="s">
        <v>60</v>
      </c>
      <c r="C19" s="10" t="s">
        <v>61</v>
      </c>
      <c r="D19" s="10" t="s">
        <v>62</v>
      </c>
      <c r="E19" s="10" t="s">
        <v>41</v>
      </c>
      <c r="F19" s="10" t="s">
        <v>63</v>
      </c>
    </row>
    <row r="20" spans="1:6" ht="37.5" customHeight="1" x14ac:dyDescent="0.25">
      <c r="A20" s="7">
        <v>7</v>
      </c>
      <c r="B20" s="54" t="s">
        <v>64</v>
      </c>
      <c r="C20" s="8" t="s">
        <v>65</v>
      </c>
      <c r="D20" s="8" t="s">
        <v>66</v>
      </c>
      <c r="E20" s="8" t="s">
        <v>41</v>
      </c>
      <c r="F20" s="8" t="s">
        <v>67</v>
      </c>
    </row>
  </sheetData>
  <mergeCells count="4">
    <mergeCell ref="A1:F1"/>
    <mergeCell ref="A2:F2"/>
    <mergeCell ref="A4:F4"/>
    <mergeCell ref="A12:F1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zoomScaleNormal="100" workbookViewId="0">
      <pane ySplit="4" topLeftCell="A5" activePane="bottomLeft" state="frozen"/>
      <selection pane="bottomLeft" activeCell="O6" sqref="O6"/>
    </sheetView>
  </sheetViews>
  <sheetFormatPr baseColWidth="10" defaultColWidth="8.7109375" defaultRowHeight="15" x14ac:dyDescent="0.25"/>
  <cols>
    <col min="1" max="1" width="5" customWidth="1"/>
    <col min="2" max="2" width="16" customWidth="1"/>
    <col min="3" max="3" width="32" customWidth="1"/>
    <col min="4" max="4" width="18" customWidth="1"/>
    <col min="5" max="7" width="10" customWidth="1"/>
    <col min="8" max="8" width="22" customWidth="1"/>
    <col min="9" max="9" width="20" customWidth="1"/>
  </cols>
  <sheetData>
    <row r="1" spans="1:9" ht="30" customHeight="1" x14ac:dyDescent="0.25">
      <c r="A1" s="53" t="s">
        <v>331</v>
      </c>
      <c r="B1" s="5"/>
      <c r="C1" s="5"/>
      <c r="D1" s="5"/>
      <c r="E1" s="5"/>
      <c r="F1" s="5"/>
      <c r="G1" s="5"/>
      <c r="H1" s="5"/>
      <c r="I1" s="5"/>
    </row>
    <row r="2" spans="1:9" ht="18" customHeight="1" x14ac:dyDescent="0.25">
      <c r="A2" s="52" t="s">
        <v>68</v>
      </c>
      <c r="B2" s="52"/>
      <c r="C2" s="52"/>
      <c r="D2" s="52"/>
      <c r="E2" s="52"/>
      <c r="F2" s="52"/>
      <c r="G2" s="52"/>
      <c r="H2" s="52"/>
      <c r="I2" s="52"/>
    </row>
    <row r="3" spans="1:9" ht="21.75" customHeight="1" x14ac:dyDescent="0.25">
      <c r="A3" s="4" t="s">
        <v>69</v>
      </c>
      <c r="B3" s="4"/>
      <c r="C3" s="4"/>
      <c r="D3" s="4"/>
      <c r="E3" s="4"/>
      <c r="F3" s="4"/>
      <c r="G3" s="4"/>
      <c r="H3" s="4"/>
      <c r="I3" s="4"/>
    </row>
    <row r="4" spans="1:9" ht="27.75" customHeight="1" x14ac:dyDescent="0.25">
      <c r="A4" s="6" t="s">
        <v>2</v>
      </c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75</v>
      </c>
      <c r="H4" s="6" t="s">
        <v>76</v>
      </c>
      <c r="I4" s="6" t="s">
        <v>77</v>
      </c>
    </row>
    <row r="5" spans="1:9" ht="30" customHeight="1" x14ac:dyDescent="0.25">
      <c r="A5" s="12">
        <v>1</v>
      </c>
      <c r="B5" s="13" t="s">
        <v>78</v>
      </c>
      <c r="C5" s="14" t="s">
        <v>79</v>
      </c>
      <c r="D5" s="14" t="s">
        <v>80</v>
      </c>
      <c r="E5" s="12">
        <v>3</v>
      </c>
      <c r="F5" s="12"/>
      <c r="G5" s="15" t="str">
        <f t="shared" ref="G5:G25" si="0">IF(F5="","",F5/E5)</f>
        <v/>
      </c>
      <c r="H5" s="14" t="s">
        <v>81</v>
      </c>
      <c r="I5" s="14" t="s">
        <v>82</v>
      </c>
    </row>
    <row r="6" spans="1:9" ht="30" customHeight="1" x14ac:dyDescent="0.25">
      <c r="A6" s="12">
        <v>2</v>
      </c>
      <c r="B6" s="13" t="s">
        <v>78</v>
      </c>
      <c r="C6" s="14" t="s">
        <v>83</v>
      </c>
      <c r="D6" s="14" t="s">
        <v>84</v>
      </c>
      <c r="E6" s="12">
        <v>2</v>
      </c>
      <c r="F6" s="12"/>
      <c r="G6" s="15" t="str">
        <f t="shared" si="0"/>
        <v/>
      </c>
      <c r="H6" s="14" t="s">
        <v>85</v>
      </c>
      <c r="I6" s="14" t="s">
        <v>86</v>
      </c>
    </row>
    <row r="7" spans="1:9" ht="30" customHeight="1" x14ac:dyDescent="0.25">
      <c r="A7" s="12">
        <v>3</v>
      </c>
      <c r="B7" s="13" t="s">
        <v>78</v>
      </c>
      <c r="C7" s="14" t="s">
        <v>87</v>
      </c>
      <c r="D7" s="14" t="s">
        <v>80</v>
      </c>
      <c r="E7" s="12">
        <v>2</v>
      </c>
      <c r="F7" s="12"/>
      <c r="G7" s="15" t="str">
        <f t="shared" si="0"/>
        <v/>
      </c>
      <c r="H7" s="14" t="s">
        <v>85</v>
      </c>
      <c r="I7" s="14" t="s">
        <v>88</v>
      </c>
    </row>
    <row r="8" spans="1:9" ht="30" customHeight="1" x14ac:dyDescent="0.25">
      <c r="A8" s="16">
        <v>4</v>
      </c>
      <c r="B8" s="17" t="s">
        <v>89</v>
      </c>
      <c r="C8" s="18" t="s">
        <v>90</v>
      </c>
      <c r="D8" s="18" t="s">
        <v>80</v>
      </c>
      <c r="E8" s="16">
        <v>3</v>
      </c>
      <c r="F8" s="16"/>
      <c r="G8" s="19" t="str">
        <f t="shared" si="0"/>
        <v/>
      </c>
      <c r="H8" s="18" t="s">
        <v>91</v>
      </c>
      <c r="I8" s="18" t="s">
        <v>92</v>
      </c>
    </row>
    <row r="9" spans="1:9" ht="30" customHeight="1" x14ac:dyDescent="0.25">
      <c r="A9" s="16">
        <v>5</v>
      </c>
      <c r="B9" s="17" t="s">
        <v>89</v>
      </c>
      <c r="C9" s="18" t="s">
        <v>93</v>
      </c>
      <c r="D9" s="18" t="s">
        <v>84</v>
      </c>
      <c r="E9" s="16">
        <v>2</v>
      </c>
      <c r="F9" s="16"/>
      <c r="G9" s="19" t="str">
        <f t="shared" si="0"/>
        <v/>
      </c>
      <c r="H9" s="18" t="s">
        <v>94</v>
      </c>
      <c r="I9" s="18" t="s">
        <v>95</v>
      </c>
    </row>
    <row r="10" spans="1:9" ht="30" customHeight="1" x14ac:dyDescent="0.25">
      <c r="A10" s="16">
        <v>6</v>
      </c>
      <c r="B10" s="17" t="s">
        <v>89</v>
      </c>
      <c r="C10" s="18" t="s">
        <v>96</v>
      </c>
      <c r="D10" s="18" t="s">
        <v>84</v>
      </c>
      <c r="E10" s="16">
        <v>2</v>
      </c>
      <c r="F10" s="16"/>
      <c r="G10" s="19" t="str">
        <f t="shared" si="0"/>
        <v/>
      </c>
      <c r="H10" s="18" t="s">
        <v>97</v>
      </c>
      <c r="I10" s="18" t="s">
        <v>98</v>
      </c>
    </row>
    <row r="11" spans="1:9" ht="30" customHeight="1" x14ac:dyDescent="0.25">
      <c r="A11" s="16">
        <v>7</v>
      </c>
      <c r="B11" s="17" t="s">
        <v>89</v>
      </c>
      <c r="C11" s="18" t="s">
        <v>99</v>
      </c>
      <c r="D11" s="18" t="s">
        <v>84</v>
      </c>
      <c r="E11" s="16">
        <v>2</v>
      </c>
      <c r="F11" s="16"/>
      <c r="G11" s="19" t="str">
        <f t="shared" si="0"/>
        <v/>
      </c>
      <c r="H11" s="18" t="s">
        <v>100</v>
      </c>
      <c r="I11" s="18" t="s">
        <v>101</v>
      </c>
    </row>
    <row r="12" spans="1:9" ht="30" customHeight="1" x14ac:dyDescent="0.25">
      <c r="A12" s="20">
        <v>8</v>
      </c>
      <c r="B12" s="21" t="s">
        <v>102</v>
      </c>
      <c r="C12" s="22" t="s">
        <v>103</v>
      </c>
      <c r="D12" s="22" t="s">
        <v>84</v>
      </c>
      <c r="E12" s="20">
        <v>2</v>
      </c>
      <c r="F12" s="20"/>
      <c r="G12" s="23" t="str">
        <f t="shared" si="0"/>
        <v/>
      </c>
      <c r="H12" s="22" t="s">
        <v>104</v>
      </c>
      <c r="I12" s="22" t="s">
        <v>105</v>
      </c>
    </row>
    <row r="13" spans="1:9" ht="30" customHeight="1" x14ac:dyDescent="0.25">
      <c r="A13" s="20">
        <v>9</v>
      </c>
      <c r="B13" s="21" t="s">
        <v>102</v>
      </c>
      <c r="C13" s="22" t="s">
        <v>106</v>
      </c>
      <c r="D13" s="22" t="s">
        <v>84</v>
      </c>
      <c r="E13" s="20">
        <v>2</v>
      </c>
      <c r="F13" s="20"/>
      <c r="G13" s="23" t="str">
        <f t="shared" si="0"/>
        <v/>
      </c>
      <c r="H13" s="22" t="s">
        <v>107</v>
      </c>
      <c r="I13" s="22" t="s">
        <v>108</v>
      </c>
    </row>
    <row r="14" spans="1:9" ht="30" customHeight="1" x14ac:dyDescent="0.25">
      <c r="A14" s="20">
        <v>10</v>
      </c>
      <c r="B14" s="21" t="s">
        <v>102</v>
      </c>
      <c r="C14" s="22" t="s">
        <v>109</v>
      </c>
      <c r="D14" s="22" t="s">
        <v>110</v>
      </c>
      <c r="E14" s="20">
        <v>4</v>
      </c>
      <c r="F14" s="20"/>
      <c r="G14" s="23" t="str">
        <f t="shared" si="0"/>
        <v/>
      </c>
      <c r="H14" s="22" t="s">
        <v>111</v>
      </c>
      <c r="I14" s="22" t="s">
        <v>112</v>
      </c>
    </row>
    <row r="15" spans="1:9" ht="30" customHeight="1" x14ac:dyDescent="0.25">
      <c r="A15" s="20">
        <v>11</v>
      </c>
      <c r="B15" s="21" t="s">
        <v>102</v>
      </c>
      <c r="C15" s="22" t="s">
        <v>113</v>
      </c>
      <c r="D15" s="22" t="s">
        <v>110</v>
      </c>
      <c r="E15" s="20">
        <v>5</v>
      </c>
      <c r="F15" s="20"/>
      <c r="G15" s="23" t="str">
        <f t="shared" si="0"/>
        <v/>
      </c>
      <c r="H15" s="22" t="s">
        <v>114</v>
      </c>
      <c r="I15" s="22" t="s">
        <v>115</v>
      </c>
    </row>
    <row r="16" spans="1:9" ht="30" customHeight="1" x14ac:dyDescent="0.25">
      <c r="A16" s="20">
        <v>12</v>
      </c>
      <c r="B16" s="21" t="s">
        <v>102</v>
      </c>
      <c r="C16" s="22" t="s">
        <v>116</v>
      </c>
      <c r="D16" s="22" t="s">
        <v>110</v>
      </c>
      <c r="E16" s="20">
        <v>3</v>
      </c>
      <c r="F16" s="20"/>
      <c r="G16" s="23" t="str">
        <f t="shared" si="0"/>
        <v/>
      </c>
      <c r="H16" s="22" t="s">
        <v>117</v>
      </c>
      <c r="I16" s="22" t="s">
        <v>118</v>
      </c>
    </row>
    <row r="17" spans="1:9" ht="30" customHeight="1" x14ac:dyDescent="0.25">
      <c r="A17" s="20">
        <v>13</v>
      </c>
      <c r="B17" s="21" t="s">
        <v>102</v>
      </c>
      <c r="C17" s="22" t="s">
        <v>119</v>
      </c>
      <c r="D17" s="22" t="s">
        <v>110</v>
      </c>
      <c r="E17" s="20">
        <v>3</v>
      </c>
      <c r="F17" s="20"/>
      <c r="G17" s="23" t="str">
        <f t="shared" si="0"/>
        <v/>
      </c>
      <c r="H17" s="22" t="s">
        <v>120</v>
      </c>
      <c r="I17" s="22" t="s">
        <v>121</v>
      </c>
    </row>
    <row r="18" spans="1:9" ht="30" customHeight="1" x14ac:dyDescent="0.25">
      <c r="A18" s="20">
        <v>14</v>
      </c>
      <c r="B18" s="21" t="s">
        <v>102</v>
      </c>
      <c r="C18" s="22" t="s">
        <v>122</v>
      </c>
      <c r="D18" s="22" t="s">
        <v>110</v>
      </c>
      <c r="E18" s="20">
        <v>2</v>
      </c>
      <c r="F18" s="20"/>
      <c r="G18" s="23" t="str">
        <f t="shared" si="0"/>
        <v/>
      </c>
      <c r="H18" s="22" t="s">
        <v>123</v>
      </c>
      <c r="I18" s="22" t="s">
        <v>124</v>
      </c>
    </row>
    <row r="19" spans="1:9" ht="30" customHeight="1" x14ac:dyDescent="0.25">
      <c r="A19" s="24">
        <v>15</v>
      </c>
      <c r="B19" s="25" t="s">
        <v>125</v>
      </c>
      <c r="C19" s="26" t="s">
        <v>126</v>
      </c>
      <c r="D19" s="26" t="s">
        <v>84</v>
      </c>
      <c r="E19" s="24">
        <v>3</v>
      </c>
      <c r="F19" s="24"/>
      <c r="G19" s="27" t="str">
        <f t="shared" si="0"/>
        <v/>
      </c>
      <c r="H19" s="26" t="s">
        <v>127</v>
      </c>
      <c r="I19" s="26" t="s">
        <v>128</v>
      </c>
    </row>
    <row r="20" spans="1:9" ht="30" customHeight="1" x14ac:dyDescent="0.25">
      <c r="A20" s="24">
        <v>16</v>
      </c>
      <c r="B20" s="25" t="s">
        <v>125</v>
      </c>
      <c r="C20" s="26" t="s">
        <v>129</v>
      </c>
      <c r="D20" s="26" t="s">
        <v>110</v>
      </c>
      <c r="E20" s="24">
        <v>3</v>
      </c>
      <c r="F20" s="24"/>
      <c r="G20" s="27" t="str">
        <f t="shared" si="0"/>
        <v/>
      </c>
      <c r="H20" s="26" t="s">
        <v>130</v>
      </c>
      <c r="I20" s="26" t="s">
        <v>131</v>
      </c>
    </row>
    <row r="21" spans="1:9" ht="30" customHeight="1" x14ac:dyDescent="0.25">
      <c r="A21" s="24">
        <v>17</v>
      </c>
      <c r="B21" s="25" t="s">
        <v>125</v>
      </c>
      <c r="C21" s="26" t="s">
        <v>132</v>
      </c>
      <c r="D21" s="26" t="s">
        <v>84</v>
      </c>
      <c r="E21" s="24">
        <v>2</v>
      </c>
      <c r="F21" s="24"/>
      <c r="G21" s="27" t="str">
        <f t="shared" si="0"/>
        <v/>
      </c>
      <c r="H21" s="26" t="s">
        <v>133</v>
      </c>
      <c r="I21" s="26" t="s">
        <v>134</v>
      </c>
    </row>
    <row r="22" spans="1:9" ht="30" customHeight="1" x14ac:dyDescent="0.25">
      <c r="A22" s="24">
        <v>18</v>
      </c>
      <c r="B22" s="25" t="s">
        <v>125</v>
      </c>
      <c r="C22" s="26" t="s">
        <v>135</v>
      </c>
      <c r="D22" s="26" t="s">
        <v>80</v>
      </c>
      <c r="E22" s="24">
        <v>2</v>
      </c>
      <c r="F22" s="24"/>
      <c r="G22" s="27" t="str">
        <f t="shared" si="0"/>
        <v/>
      </c>
      <c r="H22" s="26" t="s">
        <v>136</v>
      </c>
      <c r="I22" s="26" t="s">
        <v>137</v>
      </c>
    </row>
    <row r="23" spans="1:9" ht="30" customHeight="1" x14ac:dyDescent="0.25">
      <c r="A23" s="28">
        <v>19</v>
      </c>
      <c r="B23" s="29" t="s">
        <v>138</v>
      </c>
      <c r="C23" s="30" t="s">
        <v>139</v>
      </c>
      <c r="D23" s="30" t="s">
        <v>80</v>
      </c>
      <c r="E23" s="28">
        <v>2</v>
      </c>
      <c r="F23" s="28"/>
      <c r="G23" s="31" t="str">
        <f t="shared" si="0"/>
        <v/>
      </c>
      <c r="H23" s="30" t="s">
        <v>140</v>
      </c>
      <c r="I23" s="30" t="s">
        <v>141</v>
      </c>
    </row>
    <row r="24" spans="1:9" ht="30" customHeight="1" x14ac:dyDescent="0.25">
      <c r="A24" s="28">
        <v>20</v>
      </c>
      <c r="B24" s="29" t="s">
        <v>138</v>
      </c>
      <c r="C24" s="30" t="s">
        <v>142</v>
      </c>
      <c r="D24" s="30" t="s">
        <v>80</v>
      </c>
      <c r="E24" s="28">
        <v>1</v>
      </c>
      <c r="F24" s="28"/>
      <c r="G24" s="31" t="str">
        <f t="shared" si="0"/>
        <v/>
      </c>
      <c r="H24" s="30" t="s">
        <v>143</v>
      </c>
      <c r="I24" s="30" t="s">
        <v>144</v>
      </c>
    </row>
    <row r="25" spans="1:9" ht="30" customHeight="1" x14ac:dyDescent="0.25">
      <c r="A25" s="28">
        <v>21</v>
      </c>
      <c r="B25" s="29" t="s">
        <v>138</v>
      </c>
      <c r="C25" s="30" t="s">
        <v>145</v>
      </c>
      <c r="D25" s="30" t="s">
        <v>146</v>
      </c>
      <c r="E25" s="28">
        <v>1</v>
      </c>
      <c r="F25" s="28"/>
      <c r="G25" s="31" t="str">
        <f t="shared" si="0"/>
        <v/>
      </c>
      <c r="H25" s="30" t="s">
        <v>147</v>
      </c>
      <c r="I25" s="30" t="s">
        <v>148</v>
      </c>
    </row>
    <row r="26" spans="1:9" ht="21.75" customHeight="1" x14ac:dyDescent="0.25">
      <c r="A26" s="2" t="s">
        <v>149</v>
      </c>
      <c r="B26" s="2"/>
      <c r="C26" s="2"/>
      <c r="D26" s="2"/>
      <c r="E26" s="32">
        <f>SUM(E5:E25)</f>
        <v>51</v>
      </c>
    </row>
  </sheetData>
  <mergeCells count="4">
    <mergeCell ref="A1:I1"/>
    <mergeCell ref="A2:I2"/>
    <mergeCell ref="A3:I3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zoomScaleNormal="100" workbookViewId="0">
      <selection activeCell="AA41" sqref="AA41"/>
    </sheetView>
  </sheetViews>
  <sheetFormatPr baseColWidth="10" defaultColWidth="8.7109375" defaultRowHeight="15" x14ac:dyDescent="0.25"/>
  <cols>
    <col min="1" max="1" width="5" customWidth="1"/>
    <col min="2" max="2" width="34" customWidth="1"/>
    <col min="3" max="3" width="14" customWidth="1"/>
    <col min="4" max="15" width="8" customWidth="1"/>
  </cols>
  <sheetData>
    <row r="1" spans="1:16" ht="30" customHeight="1" x14ac:dyDescent="0.25">
      <c r="A1" s="53" t="s">
        <v>332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8" customHeight="1" x14ac:dyDescent="0.25">
      <c r="A2" s="52" t="s">
        <v>150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ht="24" customHeight="1" x14ac:dyDescent="0.25">
      <c r="A3" s="6" t="s">
        <v>2</v>
      </c>
      <c r="B3" s="6" t="s">
        <v>71</v>
      </c>
      <c r="C3" s="6" t="s">
        <v>72</v>
      </c>
      <c r="D3" s="6" t="s">
        <v>151</v>
      </c>
      <c r="E3" s="6" t="s">
        <v>152</v>
      </c>
      <c r="F3" s="33" t="s">
        <v>153</v>
      </c>
      <c r="G3" s="33" t="s">
        <v>154</v>
      </c>
      <c r="H3" s="33" t="s">
        <v>155</v>
      </c>
      <c r="I3" s="33" t="s">
        <v>156</v>
      </c>
      <c r="J3" s="33" t="s">
        <v>157</v>
      </c>
      <c r="K3" s="33" t="s">
        <v>158</v>
      </c>
      <c r="L3" s="33" t="s">
        <v>159</v>
      </c>
      <c r="M3" s="33" t="s">
        <v>160</v>
      </c>
      <c r="N3" s="33" t="s">
        <v>161</v>
      </c>
      <c r="O3" s="33" t="s">
        <v>162</v>
      </c>
    </row>
    <row r="4" spans="1:16" ht="21.75" customHeight="1" x14ac:dyDescent="0.25">
      <c r="A4" s="34">
        <v>1</v>
      </c>
      <c r="B4" s="35" t="s">
        <v>79</v>
      </c>
      <c r="C4" s="35" t="s">
        <v>80</v>
      </c>
      <c r="D4" s="34">
        <v>3</v>
      </c>
      <c r="E4" s="34">
        <v>1</v>
      </c>
      <c r="F4" s="58"/>
      <c r="G4" s="36"/>
      <c r="H4" s="36"/>
      <c r="I4" s="36"/>
      <c r="J4" s="36"/>
      <c r="K4" s="36"/>
      <c r="L4" s="36"/>
      <c r="M4" s="36"/>
      <c r="N4" s="36"/>
      <c r="O4" s="36"/>
    </row>
    <row r="5" spans="1:16" ht="21.75" customHeight="1" x14ac:dyDescent="0.25">
      <c r="A5" s="37">
        <v>2</v>
      </c>
      <c r="B5" s="38" t="s">
        <v>83</v>
      </c>
      <c r="C5" s="38" t="s">
        <v>84</v>
      </c>
      <c r="D5" s="37">
        <v>2</v>
      </c>
      <c r="E5" s="37">
        <v>1</v>
      </c>
      <c r="F5" s="58"/>
      <c r="G5" s="39"/>
      <c r="H5" s="39"/>
      <c r="I5" s="39"/>
      <c r="J5" s="39"/>
      <c r="K5" s="39"/>
      <c r="L5" s="39"/>
      <c r="M5" s="39"/>
      <c r="N5" s="39"/>
      <c r="O5" s="39"/>
    </row>
    <row r="6" spans="1:16" ht="21.75" customHeight="1" x14ac:dyDescent="0.25">
      <c r="A6" s="34">
        <v>3</v>
      </c>
      <c r="B6" s="35" t="s">
        <v>87</v>
      </c>
      <c r="C6" s="35" t="s">
        <v>80</v>
      </c>
      <c r="D6" s="34">
        <v>2</v>
      </c>
      <c r="E6" s="34">
        <v>1</v>
      </c>
      <c r="F6" s="58"/>
      <c r="G6" s="36"/>
      <c r="H6" s="36"/>
      <c r="I6" s="36"/>
      <c r="J6" s="36"/>
      <c r="K6" s="36"/>
      <c r="L6" s="36"/>
      <c r="M6" s="36"/>
      <c r="N6" s="36"/>
      <c r="O6" s="36"/>
    </row>
    <row r="7" spans="1:16" ht="21.75" customHeight="1" x14ac:dyDescent="0.25">
      <c r="A7" s="37">
        <v>4</v>
      </c>
      <c r="B7" s="38" t="s">
        <v>163</v>
      </c>
      <c r="C7" s="38" t="s">
        <v>80</v>
      </c>
      <c r="D7" s="37">
        <v>3</v>
      </c>
      <c r="E7" s="37">
        <v>2</v>
      </c>
      <c r="F7" s="39"/>
      <c r="G7" s="59"/>
      <c r="H7" s="39"/>
      <c r="I7" s="39"/>
      <c r="J7" s="39"/>
      <c r="K7" s="39"/>
      <c r="L7" s="39"/>
      <c r="M7" s="39"/>
      <c r="N7" s="39"/>
      <c r="O7" s="39"/>
    </row>
    <row r="8" spans="1:16" ht="21.75" customHeight="1" x14ac:dyDescent="0.25">
      <c r="A8" s="34">
        <v>5</v>
      </c>
      <c r="B8" s="35" t="s">
        <v>93</v>
      </c>
      <c r="C8" s="35" t="s">
        <v>84</v>
      </c>
      <c r="D8" s="34">
        <v>2</v>
      </c>
      <c r="E8" s="34">
        <v>2</v>
      </c>
      <c r="F8" s="36"/>
      <c r="G8" s="59"/>
      <c r="H8" s="36"/>
      <c r="I8" s="36"/>
      <c r="J8" s="36"/>
      <c r="K8" s="36"/>
      <c r="L8" s="36"/>
      <c r="M8" s="36"/>
      <c r="N8" s="36"/>
      <c r="O8" s="36"/>
    </row>
    <row r="9" spans="1:16" ht="21.75" customHeight="1" x14ac:dyDescent="0.25">
      <c r="A9" s="37">
        <v>6</v>
      </c>
      <c r="B9" s="38" t="s">
        <v>96</v>
      </c>
      <c r="C9" s="38" t="s">
        <v>84</v>
      </c>
      <c r="D9" s="37">
        <v>2</v>
      </c>
      <c r="E9" s="37">
        <v>3</v>
      </c>
      <c r="F9" s="39"/>
      <c r="G9" s="39"/>
      <c r="H9" s="59"/>
      <c r="I9" s="39"/>
      <c r="J9" s="39"/>
      <c r="K9" s="39"/>
      <c r="L9" s="39"/>
      <c r="M9" s="39"/>
      <c r="N9" s="39"/>
      <c r="O9" s="39"/>
    </row>
    <row r="10" spans="1:16" ht="21.75" customHeight="1" x14ac:dyDescent="0.25">
      <c r="A10" s="34">
        <v>7</v>
      </c>
      <c r="B10" s="35" t="s">
        <v>99</v>
      </c>
      <c r="C10" s="35" t="s">
        <v>84</v>
      </c>
      <c r="D10" s="34">
        <v>2</v>
      </c>
      <c r="E10" s="34">
        <v>3</v>
      </c>
      <c r="F10" s="36"/>
      <c r="G10" s="36"/>
      <c r="H10" s="59"/>
      <c r="I10" s="36"/>
      <c r="J10" s="36"/>
      <c r="K10" s="36"/>
      <c r="L10" s="36"/>
      <c r="M10" s="36"/>
      <c r="N10" s="36"/>
      <c r="O10" s="36"/>
    </row>
    <row r="11" spans="1:16" ht="21.75" customHeight="1" x14ac:dyDescent="0.25">
      <c r="A11" s="37">
        <v>8</v>
      </c>
      <c r="B11" s="38" t="s">
        <v>103</v>
      </c>
      <c r="C11" s="38" t="s">
        <v>84</v>
      </c>
      <c r="D11" s="37">
        <v>2</v>
      </c>
      <c r="E11" s="37">
        <v>4</v>
      </c>
      <c r="F11" s="39"/>
      <c r="G11" s="39"/>
      <c r="H11" s="39"/>
      <c r="I11" s="60"/>
      <c r="J11" s="39"/>
      <c r="K11" s="39"/>
      <c r="L11" s="39"/>
      <c r="M11" s="39"/>
      <c r="N11" s="39"/>
      <c r="O11" s="39"/>
    </row>
    <row r="12" spans="1:16" ht="21.75" customHeight="1" x14ac:dyDescent="0.25">
      <c r="A12" s="34">
        <v>9</v>
      </c>
      <c r="B12" s="35" t="s">
        <v>106</v>
      </c>
      <c r="C12" s="35" t="s">
        <v>84</v>
      </c>
      <c r="D12" s="34">
        <v>2</v>
      </c>
      <c r="E12" s="34">
        <v>4</v>
      </c>
      <c r="F12" s="36"/>
      <c r="G12" s="36"/>
      <c r="H12" s="36"/>
      <c r="I12" s="60"/>
      <c r="J12" s="36"/>
      <c r="K12" s="36"/>
      <c r="L12" s="36"/>
      <c r="M12" s="36"/>
      <c r="N12" s="36"/>
      <c r="O12" s="36"/>
    </row>
    <row r="13" spans="1:16" ht="21.75" customHeight="1" x14ac:dyDescent="0.25">
      <c r="A13" s="37">
        <v>10</v>
      </c>
      <c r="B13" s="38" t="s">
        <v>109</v>
      </c>
      <c r="C13" s="38" t="s">
        <v>110</v>
      </c>
      <c r="D13" s="37">
        <v>4</v>
      </c>
      <c r="E13" s="37">
        <v>5</v>
      </c>
      <c r="F13" s="39"/>
      <c r="G13" s="39"/>
      <c r="H13" s="39"/>
      <c r="I13" s="39"/>
      <c r="J13" s="60"/>
      <c r="K13" s="39"/>
      <c r="L13" s="39"/>
      <c r="M13" s="39"/>
      <c r="N13" s="39"/>
      <c r="O13" s="39"/>
    </row>
    <row r="14" spans="1:16" ht="21.75" customHeight="1" x14ac:dyDescent="0.25">
      <c r="A14" s="34">
        <v>11</v>
      </c>
      <c r="B14" s="35" t="s">
        <v>113</v>
      </c>
      <c r="C14" s="35" t="s">
        <v>110</v>
      </c>
      <c r="D14" s="34">
        <v>5</v>
      </c>
      <c r="E14" s="34">
        <v>5</v>
      </c>
      <c r="F14" s="36"/>
      <c r="G14" s="36"/>
      <c r="H14" s="36"/>
      <c r="I14" s="36"/>
      <c r="J14" s="60"/>
      <c r="K14" s="60"/>
      <c r="L14" s="36"/>
      <c r="M14" s="36"/>
      <c r="N14" s="36"/>
      <c r="O14" s="36"/>
    </row>
    <row r="15" spans="1:16" ht="21.75" customHeight="1" x14ac:dyDescent="0.25">
      <c r="A15" s="37">
        <v>12</v>
      </c>
      <c r="B15" s="38" t="s">
        <v>116</v>
      </c>
      <c r="C15" s="38" t="s">
        <v>110</v>
      </c>
      <c r="D15" s="37">
        <v>3</v>
      </c>
      <c r="E15" s="37">
        <v>6</v>
      </c>
      <c r="F15" s="39"/>
      <c r="G15" s="39"/>
      <c r="H15" s="39"/>
      <c r="I15" s="39"/>
      <c r="J15" s="39"/>
      <c r="K15" s="60"/>
      <c r="L15" s="39"/>
      <c r="M15" s="39"/>
      <c r="N15" s="39"/>
      <c r="O15" s="39"/>
    </row>
    <row r="16" spans="1:16" ht="21.75" customHeight="1" x14ac:dyDescent="0.25">
      <c r="A16" s="34">
        <v>13</v>
      </c>
      <c r="B16" s="35" t="s">
        <v>119</v>
      </c>
      <c r="C16" s="35" t="s">
        <v>110</v>
      </c>
      <c r="D16" s="34">
        <v>3</v>
      </c>
      <c r="E16" s="34">
        <v>7</v>
      </c>
      <c r="F16" s="36"/>
      <c r="G16" s="36"/>
      <c r="H16" s="36"/>
      <c r="I16" s="36"/>
      <c r="J16" s="36"/>
      <c r="K16" s="36"/>
      <c r="L16" s="60"/>
      <c r="M16" s="36"/>
      <c r="N16" s="36"/>
      <c r="O16" s="36"/>
    </row>
    <row r="17" spans="1:15" ht="21.75" customHeight="1" x14ac:dyDescent="0.25">
      <c r="A17" s="37">
        <v>14</v>
      </c>
      <c r="B17" s="38" t="s">
        <v>122</v>
      </c>
      <c r="C17" s="38" t="s">
        <v>110</v>
      </c>
      <c r="D17" s="37">
        <v>2</v>
      </c>
      <c r="E17" s="37">
        <v>7</v>
      </c>
      <c r="F17" s="39"/>
      <c r="G17" s="39"/>
      <c r="H17" s="39"/>
      <c r="I17" s="39"/>
      <c r="J17" s="39"/>
      <c r="K17" s="39"/>
      <c r="L17" s="60"/>
      <c r="M17" s="39"/>
      <c r="N17" s="39"/>
      <c r="O17" s="39"/>
    </row>
    <row r="18" spans="1:15" ht="21.75" customHeight="1" x14ac:dyDescent="0.25">
      <c r="A18" s="34">
        <v>15</v>
      </c>
      <c r="B18" s="35" t="s">
        <v>164</v>
      </c>
      <c r="C18" s="35" t="s">
        <v>84</v>
      </c>
      <c r="D18" s="34">
        <v>3</v>
      </c>
      <c r="E18" s="34">
        <v>7</v>
      </c>
      <c r="F18" s="36"/>
      <c r="G18" s="36"/>
      <c r="H18" s="36"/>
      <c r="I18" s="36"/>
      <c r="J18" s="36"/>
      <c r="K18" s="36"/>
      <c r="L18" s="61"/>
      <c r="M18" s="36"/>
      <c r="N18" s="36"/>
      <c r="O18" s="36"/>
    </row>
    <row r="19" spans="1:15" ht="21.75" customHeight="1" x14ac:dyDescent="0.25">
      <c r="A19" s="37">
        <v>16</v>
      </c>
      <c r="B19" s="38" t="s">
        <v>165</v>
      </c>
      <c r="C19" s="38" t="s">
        <v>110</v>
      </c>
      <c r="D19" s="37">
        <v>3</v>
      </c>
      <c r="E19" s="37">
        <v>8</v>
      </c>
      <c r="F19" s="39"/>
      <c r="G19" s="39"/>
      <c r="H19" s="39"/>
      <c r="I19" s="39"/>
      <c r="J19" s="39"/>
      <c r="K19" s="39"/>
      <c r="L19" s="39"/>
      <c r="M19" s="61"/>
      <c r="N19" s="39"/>
      <c r="O19" s="39"/>
    </row>
    <row r="20" spans="1:15" ht="21.75" customHeight="1" x14ac:dyDescent="0.25">
      <c r="A20" s="34">
        <v>17</v>
      </c>
      <c r="B20" s="35" t="s">
        <v>166</v>
      </c>
      <c r="C20" s="35" t="s">
        <v>84</v>
      </c>
      <c r="D20" s="34">
        <v>2</v>
      </c>
      <c r="E20" s="34">
        <v>8</v>
      </c>
      <c r="F20" s="36"/>
      <c r="G20" s="36"/>
      <c r="H20" s="36"/>
      <c r="I20" s="36"/>
      <c r="J20" s="36"/>
      <c r="K20" s="36"/>
      <c r="L20" s="36"/>
      <c r="M20" s="61"/>
      <c r="N20" s="36"/>
      <c r="O20" s="36"/>
    </row>
    <row r="21" spans="1:15" ht="21.75" customHeight="1" x14ac:dyDescent="0.25">
      <c r="A21" s="37">
        <v>18</v>
      </c>
      <c r="B21" s="38" t="s">
        <v>135</v>
      </c>
      <c r="C21" s="38" t="s">
        <v>80</v>
      </c>
      <c r="D21" s="37">
        <v>2</v>
      </c>
      <c r="E21" s="37">
        <v>9</v>
      </c>
      <c r="F21" s="39"/>
      <c r="G21" s="39"/>
      <c r="H21" s="39"/>
      <c r="I21" s="39"/>
      <c r="J21" s="39"/>
      <c r="K21" s="39"/>
      <c r="L21" s="39"/>
      <c r="M21" s="39"/>
      <c r="N21" s="61"/>
      <c r="O21" s="39"/>
    </row>
    <row r="22" spans="1:15" ht="21.75" customHeight="1" x14ac:dyDescent="0.25">
      <c r="A22" s="34">
        <v>19</v>
      </c>
      <c r="B22" s="35" t="s">
        <v>167</v>
      </c>
      <c r="C22" s="35" t="s">
        <v>80</v>
      </c>
      <c r="D22" s="34">
        <v>2</v>
      </c>
      <c r="E22" s="34">
        <v>9</v>
      </c>
      <c r="F22" s="36"/>
      <c r="G22" s="36"/>
      <c r="H22" s="36"/>
      <c r="I22" s="36"/>
      <c r="J22" s="36"/>
      <c r="K22" s="36"/>
      <c r="L22" s="36"/>
      <c r="M22" s="36"/>
      <c r="N22" s="62"/>
      <c r="O22" s="36"/>
    </row>
    <row r="23" spans="1:15" ht="21.75" customHeight="1" x14ac:dyDescent="0.25">
      <c r="A23" s="37">
        <v>20</v>
      </c>
      <c r="B23" s="38" t="s">
        <v>168</v>
      </c>
      <c r="C23" s="38" t="s">
        <v>146</v>
      </c>
      <c r="D23" s="37">
        <v>2</v>
      </c>
      <c r="E23" s="37">
        <v>10</v>
      </c>
      <c r="F23" s="39"/>
      <c r="G23" s="39"/>
      <c r="H23" s="39"/>
      <c r="I23" s="39"/>
      <c r="J23" s="39"/>
      <c r="K23" s="39"/>
      <c r="L23" s="39"/>
      <c r="M23" s="39"/>
      <c r="N23" s="39"/>
      <c r="O23" s="62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Normal="100" workbookViewId="0">
      <pane ySplit="4" topLeftCell="A5" activePane="bottomLeft" state="frozen"/>
      <selection pane="bottomLeft" activeCell="L18" sqref="L18"/>
    </sheetView>
  </sheetViews>
  <sheetFormatPr baseColWidth="10" defaultColWidth="8.7109375" defaultRowHeight="15" x14ac:dyDescent="0.25"/>
  <cols>
    <col min="1" max="1" width="5" customWidth="1"/>
    <col min="2" max="2" width="24.42578125" customWidth="1"/>
    <col min="3" max="3" width="49.140625" customWidth="1"/>
    <col min="4" max="4" width="24" customWidth="1"/>
    <col min="5" max="5" width="22.85546875" customWidth="1"/>
    <col min="6" max="6" width="44.28515625" customWidth="1"/>
    <col min="7" max="7" width="20" customWidth="1"/>
  </cols>
  <sheetData>
    <row r="1" spans="1:7" ht="30" customHeight="1" x14ac:dyDescent="0.25">
      <c r="A1" s="53" t="s">
        <v>333</v>
      </c>
      <c r="B1" s="5"/>
      <c r="C1" s="5"/>
      <c r="D1" s="5"/>
      <c r="E1" s="5"/>
      <c r="F1" s="5"/>
      <c r="G1" s="5"/>
    </row>
    <row r="2" spans="1:7" ht="18" customHeight="1" x14ac:dyDescent="0.25">
      <c r="A2" s="52" t="s">
        <v>169</v>
      </c>
      <c r="B2" s="52"/>
      <c r="C2" s="52"/>
      <c r="D2" s="52"/>
      <c r="E2" s="52"/>
      <c r="F2" s="52"/>
      <c r="G2" s="52"/>
    </row>
    <row r="3" spans="1:7" ht="21.75" customHeight="1" x14ac:dyDescent="0.25">
      <c r="A3" s="1" t="s">
        <v>170</v>
      </c>
      <c r="B3" s="1"/>
      <c r="C3" s="1"/>
      <c r="D3" s="1"/>
      <c r="E3" s="1"/>
      <c r="F3" s="1"/>
      <c r="G3" s="1"/>
    </row>
    <row r="4" spans="1:7" ht="19.5" customHeight="1" x14ac:dyDescent="0.25">
      <c r="A4" s="40" t="s">
        <v>2</v>
      </c>
      <c r="B4" s="40" t="s">
        <v>171</v>
      </c>
      <c r="C4" s="40" t="s">
        <v>172</v>
      </c>
      <c r="D4" s="40" t="s">
        <v>173</v>
      </c>
      <c r="E4" s="40" t="s">
        <v>174</v>
      </c>
      <c r="F4" s="40" t="s">
        <v>4</v>
      </c>
      <c r="G4" s="40" t="s">
        <v>175</v>
      </c>
    </row>
    <row r="5" spans="1:7" ht="36" customHeight="1" x14ac:dyDescent="0.25">
      <c r="A5" s="7">
        <v>1</v>
      </c>
      <c r="B5" s="54" t="s">
        <v>176</v>
      </c>
      <c r="C5" s="8" t="s">
        <v>177</v>
      </c>
      <c r="D5" s="8" t="s">
        <v>178</v>
      </c>
      <c r="E5" s="8" t="s">
        <v>179</v>
      </c>
      <c r="F5" s="8" t="s">
        <v>180</v>
      </c>
      <c r="G5" s="8" t="s">
        <v>181</v>
      </c>
    </row>
    <row r="6" spans="1:7" ht="36" customHeight="1" x14ac:dyDescent="0.25">
      <c r="A6" s="9">
        <v>2</v>
      </c>
      <c r="B6" s="55" t="s">
        <v>182</v>
      </c>
      <c r="C6" s="10" t="s">
        <v>183</v>
      </c>
      <c r="D6" s="10" t="s">
        <v>184</v>
      </c>
      <c r="E6" s="10" t="s">
        <v>185</v>
      </c>
      <c r="F6" s="10" t="s">
        <v>186</v>
      </c>
      <c r="G6" s="10" t="s">
        <v>187</v>
      </c>
    </row>
    <row r="7" spans="1:7" ht="36" customHeight="1" x14ac:dyDescent="0.25">
      <c r="A7" s="7">
        <v>3</v>
      </c>
      <c r="B7" s="54" t="s">
        <v>188</v>
      </c>
      <c r="C7" s="8" t="s">
        <v>189</v>
      </c>
      <c r="D7" s="8" t="s">
        <v>190</v>
      </c>
      <c r="E7" s="8" t="s">
        <v>191</v>
      </c>
      <c r="F7" s="8" t="s">
        <v>192</v>
      </c>
      <c r="G7" s="8" t="s">
        <v>193</v>
      </c>
    </row>
    <row r="8" spans="1:7" ht="36" customHeight="1" x14ac:dyDescent="0.25">
      <c r="A8" s="9">
        <v>4</v>
      </c>
      <c r="B8" s="55" t="s">
        <v>194</v>
      </c>
      <c r="C8" s="10" t="s">
        <v>195</v>
      </c>
      <c r="D8" s="10" t="s">
        <v>196</v>
      </c>
      <c r="E8" s="10" t="s">
        <v>197</v>
      </c>
      <c r="F8" s="10" t="s">
        <v>198</v>
      </c>
      <c r="G8" s="10" t="s">
        <v>199</v>
      </c>
    </row>
    <row r="9" spans="1:7" ht="36" customHeight="1" x14ac:dyDescent="0.25">
      <c r="A9" s="7">
        <v>5</v>
      </c>
      <c r="B9" s="54" t="s">
        <v>200</v>
      </c>
      <c r="C9" s="8" t="s">
        <v>201</v>
      </c>
      <c r="D9" s="8" t="s">
        <v>202</v>
      </c>
      <c r="E9" s="8" t="s">
        <v>203</v>
      </c>
      <c r="F9" s="8" t="s">
        <v>204</v>
      </c>
      <c r="G9" s="8" t="s">
        <v>205</v>
      </c>
    </row>
    <row r="10" spans="1:7" ht="36" customHeight="1" x14ac:dyDescent="0.25">
      <c r="A10" s="9">
        <v>6</v>
      </c>
      <c r="B10" s="55" t="s">
        <v>206</v>
      </c>
      <c r="C10" s="10" t="s">
        <v>207</v>
      </c>
      <c r="D10" s="10" t="s">
        <v>208</v>
      </c>
      <c r="E10" s="10" t="s">
        <v>209</v>
      </c>
      <c r="F10" s="10" t="s">
        <v>210</v>
      </c>
      <c r="G10" s="10" t="s">
        <v>211</v>
      </c>
    </row>
    <row r="11" spans="1:7" ht="36" customHeight="1" x14ac:dyDescent="0.25">
      <c r="A11" s="7">
        <v>7</v>
      </c>
      <c r="B11" s="54" t="s">
        <v>212</v>
      </c>
      <c r="C11" s="8" t="s">
        <v>213</v>
      </c>
      <c r="D11" s="8" t="s">
        <v>214</v>
      </c>
      <c r="E11" s="8" t="s">
        <v>215</v>
      </c>
      <c r="F11" s="8" t="s">
        <v>216</v>
      </c>
      <c r="G11" s="8" t="s">
        <v>217</v>
      </c>
    </row>
    <row r="12" spans="1:7" ht="36" customHeight="1" x14ac:dyDescent="0.25">
      <c r="A12" s="9">
        <v>8</v>
      </c>
      <c r="B12" s="55" t="s">
        <v>218</v>
      </c>
      <c r="C12" s="10" t="s">
        <v>219</v>
      </c>
      <c r="D12" s="10" t="s">
        <v>220</v>
      </c>
      <c r="E12" s="10" t="s">
        <v>221</v>
      </c>
      <c r="F12" s="10" t="s">
        <v>57</v>
      </c>
      <c r="G12" s="10" t="s">
        <v>222</v>
      </c>
    </row>
    <row r="13" spans="1:7" ht="36" customHeight="1" x14ac:dyDescent="0.25">
      <c r="A13" s="7">
        <v>9</v>
      </c>
      <c r="B13" s="54" t="s">
        <v>223</v>
      </c>
      <c r="C13" s="8" t="s">
        <v>224</v>
      </c>
      <c r="D13" s="8" t="s">
        <v>225</v>
      </c>
      <c r="E13" s="8" t="s">
        <v>226</v>
      </c>
      <c r="F13" s="8" t="s">
        <v>227</v>
      </c>
      <c r="G13" s="8" t="s">
        <v>228</v>
      </c>
    </row>
    <row r="14" spans="1:7" ht="36" customHeight="1" x14ac:dyDescent="0.25">
      <c r="A14" s="9">
        <v>10</v>
      </c>
      <c r="B14" s="55" t="s">
        <v>229</v>
      </c>
      <c r="C14" s="10" t="s">
        <v>230</v>
      </c>
      <c r="D14" s="10" t="s">
        <v>202</v>
      </c>
      <c r="E14" s="10" t="s">
        <v>231</v>
      </c>
      <c r="F14" s="10" t="s">
        <v>232</v>
      </c>
      <c r="G14" s="10" t="s">
        <v>233</v>
      </c>
    </row>
    <row r="16" spans="1:7" ht="21.75" customHeight="1" x14ac:dyDescent="0.25">
      <c r="A16" s="3" t="s">
        <v>234</v>
      </c>
      <c r="B16" s="3"/>
      <c r="C16" s="3"/>
      <c r="D16" s="3"/>
      <c r="E16" s="3"/>
      <c r="F16" s="3"/>
      <c r="G16" s="3"/>
    </row>
    <row r="17" spans="1:7" ht="19.5" customHeight="1" x14ac:dyDescent="0.25">
      <c r="A17" s="11" t="s">
        <v>2</v>
      </c>
      <c r="B17" s="11" t="s">
        <v>235</v>
      </c>
      <c r="C17" s="11" t="s">
        <v>236</v>
      </c>
      <c r="D17" s="11" t="s">
        <v>237</v>
      </c>
      <c r="E17" s="11" t="s">
        <v>238</v>
      </c>
      <c r="F17" s="11" t="s">
        <v>239</v>
      </c>
      <c r="G17" s="11" t="s">
        <v>240</v>
      </c>
    </row>
    <row r="18" spans="1:7" ht="36" customHeight="1" x14ac:dyDescent="0.25">
      <c r="A18" s="7">
        <v>1</v>
      </c>
      <c r="B18" s="54" t="s">
        <v>241</v>
      </c>
      <c r="C18" s="8" t="s">
        <v>242</v>
      </c>
      <c r="D18" s="8" t="s">
        <v>243</v>
      </c>
      <c r="E18" s="8" t="s">
        <v>176</v>
      </c>
      <c r="F18" s="8" t="s">
        <v>244</v>
      </c>
      <c r="G18" s="8" t="s">
        <v>245</v>
      </c>
    </row>
    <row r="19" spans="1:7" ht="36" customHeight="1" x14ac:dyDescent="0.25">
      <c r="A19" s="9">
        <v>2</v>
      </c>
      <c r="B19" s="55" t="s">
        <v>246</v>
      </c>
      <c r="C19" s="10" t="s">
        <v>247</v>
      </c>
      <c r="D19" s="10" t="s">
        <v>248</v>
      </c>
      <c r="E19" s="10" t="s">
        <v>182</v>
      </c>
      <c r="F19" s="10" t="s">
        <v>249</v>
      </c>
      <c r="G19" s="10" t="s">
        <v>250</v>
      </c>
    </row>
    <row r="20" spans="1:7" ht="36" customHeight="1" x14ac:dyDescent="0.25">
      <c r="A20" s="7">
        <v>3</v>
      </c>
      <c r="B20" s="54" t="s">
        <v>251</v>
      </c>
      <c r="C20" s="8" t="s">
        <v>252</v>
      </c>
      <c r="D20" s="8" t="s">
        <v>253</v>
      </c>
      <c r="E20" s="8" t="s">
        <v>188</v>
      </c>
      <c r="F20" s="8" t="s">
        <v>254</v>
      </c>
      <c r="G20" s="8" t="s">
        <v>245</v>
      </c>
    </row>
    <row r="21" spans="1:7" ht="36" customHeight="1" x14ac:dyDescent="0.25">
      <c r="A21" s="9">
        <v>4</v>
      </c>
      <c r="B21" s="55" t="s">
        <v>255</v>
      </c>
      <c r="C21" s="10" t="s">
        <v>256</v>
      </c>
      <c r="D21" s="10" t="s">
        <v>243</v>
      </c>
      <c r="E21" s="10" t="s">
        <v>194</v>
      </c>
      <c r="F21" s="10" t="s">
        <v>257</v>
      </c>
      <c r="G21" s="10" t="s">
        <v>258</v>
      </c>
    </row>
    <row r="22" spans="1:7" ht="36" customHeight="1" x14ac:dyDescent="0.25">
      <c r="A22" s="7">
        <v>5</v>
      </c>
      <c r="B22" s="54" t="s">
        <v>259</v>
      </c>
      <c r="C22" s="8" t="s">
        <v>260</v>
      </c>
      <c r="D22" s="8" t="s">
        <v>261</v>
      </c>
      <c r="E22" s="8" t="s">
        <v>200</v>
      </c>
      <c r="F22" s="8" t="s">
        <v>262</v>
      </c>
      <c r="G22" s="8" t="s">
        <v>258</v>
      </c>
    </row>
    <row r="23" spans="1:7" ht="36" customHeight="1" x14ac:dyDescent="0.25">
      <c r="A23" s="9">
        <v>6</v>
      </c>
      <c r="B23" s="55" t="s">
        <v>263</v>
      </c>
      <c r="C23" s="10" t="s">
        <v>264</v>
      </c>
      <c r="D23" s="10" t="s">
        <v>243</v>
      </c>
      <c r="E23" s="10" t="s">
        <v>223</v>
      </c>
      <c r="F23" s="10" t="s">
        <v>265</v>
      </c>
      <c r="G23" s="10" t="s">
        <v>245</v>
      </c>
    </row>
    <row r="24" spans="1:7" ht="36" customHeight="1" x14ac:dyDescent="0.25">
      <c r="A24" s="7">
        <v>7</v>
      </c>
      <c r="B24" s="54" t="s">
        <v>266</v>
      </c>
      <c r="C24" s="8" t="s">
        <v>267</v>
      </c>
      <c r="D24" s="8" t="s">
        <v>261</v>
      </c>
      <c r="E24" s="8" t="s">
        <v>268</v>
      </c>
      <c r="F24" s="8" t="s">
        <v>269</v>
      </c>
      <c r="G24" s="8" t="s">
        <v>245</v>
      </c>
    </row>
    <row r="25" spans="1:7" ht="36" customHeight="1" x14ac:dyDescent="0.25">
      <c r="A25" s="9">
        <v>8</v>
      </c>
      <c r="B25" s="55" t="s">
        <v>270</v>
      </c>
      <c r="C25" s="10" t="s">
        <v>271</v>
      </c>
      <c r="D25" s="10" t="s">
        <v>272</v>
      </c>
      <c r="E25" s="10" t="s">
        <v>273</v>
      </c>
      <c r="F25" s="10" t="s">
        <v>274</v>
      </c>
      <c r="G25" s="10" t="s">
        <v>275</v>
      </c>
    </row>
  </sheetData>
  <mergeCells count="4">
    <mergeCell ref="A1:G1"/>
    <mergeCell ref="A2:G2"/>
    <mergeCell ref="A3:G3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Normal="100" workbookViewId="0">
      <selection activeCell="C27" sqref="C27"/>
    </sheetView>
  </sheetViews>
  <sheetFormatPr baseColWidth="10" defaultColWidth="8.7109375" defaultRowHeight="15" x14ac:dyDescent="0.25"/>
  <cols>
    <col min="1" max="1" width="11.85546875" customWidth="1"/>
    <col min="2" max="2" width="26" customWidth="1"/>
    <col min="3" max="3" width="20" customWidth="1"/>
    <col min="4" max="4" width="14" customWidth="1"/>
    <col min="5" max="5" width="12" customWidth="1"/>
    <col min="6" max="7" width="14" customWidth="1"/>
    <col min="8" max="8" width="18" customWidth="1"/>
  </cols>
  <sheetData>
    <row r="1" spans="1:8" ht="30" customHeight="1" x14ac:dyDescent="0.25">
      <c r="A1" s="5" t="s">
        <v>276</v>
      </c>
      <c r="B1" s="5"/>
      <c r="C1" s="5"/>
      <c r="D1" s="5"/>
      <c r="E1" s="5"/>
      <c r="F1" s="5"/>
      <c r="G1" s="5"/>
      <c r="H1" s="5"/>
    </row>
    <row r="3" spans="1:8" ht="21.75" customHeight="1" x14ac:dyDescent="0.25">
      <c r="A3" s="4" t="s">
        <v>277</v>
      </c>
      <c r="B3" s="4"/>
      <c r="C3" s="4"/>
      <c r="D3" s="4"/>
      <c r="E3" s="4"/>
      <c r="F3" s="4"/>
      <c r="G3" s="4"/>
      <c r="H3" s="4"/>
    </row>
    <row r="4" spans="1:8" ht="27.75" customHeight="1" x14ac:dyDescent="0.25">
      <c r="A4" s="6" t="s">
        <v>2</v>
      </c>
      <c r="B4" s="6" t="s">
        <v>278</v>
      </c>
      <c r="C4" s="6" t="s">
        <v>279</v>
      </c>
      <c r="D4" s="6" t="s">
        <v>280</v>
      </c>
      <c r="E4" s="6" t="s">
        <v>281</v>
      </c>
      <c r="F4" s="6" t="s">
        <v>282</v>
      </c>
      <c r="G4" s="6" t="s">
        <v>283</v>
      </c>
      <c r="H4" s="6" t="s">
        <v>284</v>
      </c>
    </row>
    <row r="5" spans="1:8" ht="36" customHeight="1" x14ac:dyDescent="0.25">
      <c r="A5" s="7">
        <v>1</v>
      </c>
      <c r="B5" s="54" t="s">
        <v>285</v>
      </c>
      <c r="C5" s="8" t="s">
        <v>286</v>
      </c>
      <c r="D5" s="7">
        <v>1</v>
      </c>
      <c r="E5" s="41">
        <v>1</v>
      </c>
      <c r="F5" s="7">
        <v>10</v>
      </c>
      <c r="G5" s="42">
        <v>800</v>
      </c>
      <c r="H5" s="42">
        <f t="shared" ref="H5:H10" si="0">D5*F5*G5</f>
        <v>8000</v>
      </c>
    </row>
    <row r="6" spans="1:8" ht="36" customHeight="1" x14ac:dyDescent="0.25">
      <c r="A6" s="9">
        <v>2</v>
      </c>
      <c r="B6" s="55" t="s">
        <v>287</v>
      </c>
      <c r="C6" s="10" t="s">
        <v>288</v>
      </c>
      <c r="D6" s="9">
        <v>1</v>
      </c>
      <c r="E6" s="43">
        <v>1</v>
      </c>
      <c r="F6" s="9">
        <v>7</v>
      </c>
      <c r="G6" s="44">
        <v>700</v>
      </c>
      <c r="H6" s="44">
        <f t="shared" si="0"/>
        <v>4900</v>
      </c>
    </row>
    <row r="7" spans="1:8" ht="36" customHeight="1" x14ac:dyDescent="0.25">
      <c r="A7" s="7">
        <v>3</v>
      </c>
      <c r="B7" s="54" t="s">
        <v>289</v>
      </c>
      <c r="C7" s="8" t="s">
        <v>290</v>
      </c>
      <c r="D7" s="7">
        <v>1</v>
      </c>
      <c r="E7" s="41">
        <v>0.8</v>
      </c>
      <c r="F7" s="7">
        <v>8</v>
      </c>
      <c r="G7" s="42">
        <v>640</v>
      </c>
      <c r="H7" s="42">
        <f t="shared" si="0"/>
        <v>5120</v>
      </c>
    </row>
    <row r="8" spans="1:8" ht="36" customHeight="1" x14ac:dyDescent="0.25">
      <c r="A8" s="9">
        <v>4</v>
      </c>
      <c r="B8" s="55" t="s">
        <v>291</v>
      </c>
      <c r="C8" s="10" t="s">
        <v>292</v>
      </c>
      <c r="D8" s="9">
        <v>1</v>
      </c>
      <c r="E8" s="43">
        <v>0.5</v>
      </c>
      <c r="F8" s="9">
        <v>4</v>
      </c>
      <c r="G8" s="44">
        <v>400</v>
      </c>
      <c r="H8" s="44">
        <f t="shared" si="0"/>
        <v>1600</v>
      </c>
    </row>
    <row r="9" spans="1:8" ht="36" customHeight="1" x14ac:dyDescent="0.25">
      <c r="A9" s="7">
        <v>5</v>
      </c>
      <c r="B9" s="54" t="s">
        <v>293</v>
      </c>
      <c r="C9" s="8" t="s">
        <v>294</v>
      </c>
      <c r="D9" s="7">
        <v>1</v>
      </c>
      <c r="E9" s="41">
        <v>0.4</v>
      </c>
      <c r="F9" s="7">
        <v>3</v>
      </c>
      <c r="G9" s="42">
        <v>320</v>
      </c>
      <c r="H9" s="42">
        <f t="shared" si="0"/>
        <v>960</v>
      </c>
    </row>
    <row r="10" spans="1:8" ht="36" customHeight="1" x14ac:dyDescent="0.25">
      <c r="A10" s="9">
        <v>6</v>
      </c>
      <c r="B10" s="55" t="s">
        <v>295</v>
      </c>
      <c r="C10" s="10" t="s">
        <v>296</v>
      </c>
      <c r="D10" s="9">
        <v>1</v>
      </c>
      <c r="E10" s="43">
        <v>0.3</v>
      </c>
      <c r="F10" s="9">
        <v>4</v>
      </c>
      <c r="G10" s="44">
        <v>480</v>
      </c>
      <c r="H10" s="44">
        <f t="shared" si="0"/>
        <v>1920</v>
      </c>
    </row>
    <row r="11" spans="1:8" ht="21.75" customHeight="1" x14ac:dyDescent="0.25">
      <c r="A11" s="2" t="s">
        <v>297</v>
      </c>
      <c r="B11" s="2"/>
      <c r="C11" s="2"/>
      <c r="D11" s="32">
        <f>SUM(D5:D10)</f>
        <v>6</v>
      </c>
      <c r="E11" s="45"/>
      <c r="F11" s="45"/>
      <c r="G11" s="45"/>
      <c r="H11" s="46">
        <f>SUM(H5:H10)</f>
        <v>22500</v>
      </c>
    </row>
    <row r="13" spans="1:8" ht="21.75" customHeight="1" x14ac:dyDescent="0.25">
      <c r="A13" s="56" t="s">
        <v>298</v>
      </c>
      <c r="B13" s="56"/>
      <c r="C13" s="56"/>
      <c r="D13" s="56"/>
      <c r="E13" s="56"/>
      <c r="F13" s="56"/>
      <c r="G13" s="56"/>
      <c r="H13" s="56"/>
    </row>
    <row r="14" spans="1:8" ht="27.75" customHeight="1" x14ac:dyDescent="0.25">
      <c r="A14" s="57" t="s">
        <v>2</v>
      </c>
      <c r="B14" s="57" t="s">
        <v>299</v>
      </c>
      <c r="C14" s="57" t="s">
        <v>300</v>
      </c>
      <c r="D14" s="57" t="s">
        <v>301</v>
      </c>
      <c r="E14" s="57" t="s">
        <v>302</v>
      </c>
      <c r="F14" s="57" t="s">
        <v>303</v>
      </c>
      <c r="G14" s="57" t="s">
        <v>304</v>
      </c>
      <c r="H14" s="57" t="s">
        <v>305</v>
      </c>
    </row>
    <row r="15" spans="1:8" ht="30" customHeight="1" x14ac:dyDescent="0.25">
      <c r="A15" s="47">
        <v>1</v>
      </c>
      <c r="B15" s="54" t="s">
        <v>78</v>
      </c>
      <c r="C15" s="48" t="s">
        <v>306</v>
      </c>
      <c r="D15" s="47">
        <v>7</v>
      </c>
      <c r="E15" s="47" t="s">
        <v>307</v>
      </c>
      <c r="F15" s="63" t="s">
        <v>308</v>
      </c>
      <c r="G15" s="48" t="s">
        <v>309</v>
      </c>
      <c r="H15" s="48" t="s">
        <v>310</v>
      </c>
    </row>
    <row r="16" spans="1:8" ht="30" customHeight="1" x14ac:dyDescent="0.25">
      <c r="A16" s="49">
        <v>2</v>
      </c>
      <c r="B16" s="55" t="s">
        <v>89</v>
      </c>
      <c r="C16" s="50" t="s">
        <v>311</v>
      </c>
      <c r="D16" s="49">
        <v>9</v>
      </c>
      <c r="E16" s="49" t="s">
        <v>312</v>
      </c>
      <c r="F16" s="64" t="s">
        <v>313</v>
      </c>
      <c r="G16" s="50" t="s">
        <v>309</v>
      </c>
      <c r="H16" s="50" t="s">
        <v>314</v>
      </c>
    </row>
    <row r="17" spans="1:8" ht="30" customHeight="1" x14ac:dyDescent="0.25">
      <c r="A17" s="47">
        <v>3</v>
      </c>
      <c r="B17" s="54" t="s">
        <v>102</v>
      </c>
      <c r="C17" s="48" t="s">
        <v>315</v>
      </c>
      <c r="D17" s="47">
        <v>21</v>
      </c>
      <c r="E17" s="47" t="s">
        <v>316</v>
      </c>
      <c r="F17" s="63" t="s">
        <v>317</v>
      </c>
      <c r="G17" s="48" t="s">
        <v>318</v>
      </c>
      <c r="H17" s="48" t="s">
        <v>319</v>
      </c>
    </row>
    <row r="18" spans="1:8" ht="30" customHeight="1" x14ac:dyDescent="0.25">
      <c r="A18" s="49">
        <v>4</v>
      </c>
      <c r="B18" s="55" t="s">
        <v>125</v>
      </c>
      <c r="C18" s="50" t="s">
        <v>320</v>
      </c>
      <c r="D18" s="49">
        <v>10</v>
      </c>
      <c r="E18" s="49" t="s">
        <v>321</v>
      </c>
      <c r="F18" s="64" t="s">
        <v>322</v>
      </c>
      <c r="G18" s="50" t="s">
        <v>146</v>
      </c>
      <c r="H18" s="50" t="s">
        <v>323</v>
      </c>
    </row>
    <row r="19" spans="1:8" ht="30" customHeight="1" x14ac:dyDescent="0.25">
      <c r="A19" s="47">
        <v>5</v>
      </c>
      <c r="B19" s="54" t="s">
        <v>138</v>
      </c>
      <c r="C19" s="48" t="s">
        <v>324</v>
      </c>
      <c r="D19" s="47">
        <v>5</v>
      </c>
      <c r="E19" s="47" t="s">
        <v>325</v>
      </c>
      <c r="F19" s="63" t="s">
        <v>326</v>
      </c>
      <c r="G19" s="48" t="s">
        <v>327</v>
      </c>
      <c r="H19" s="48" t="s">
        <v>148</v>
      </c>
    </row>
    <row r="20" spans="1:8" ht="21.75" customHeight="1" x14ac:dyDescent="0.25">
      <c r="A20" s="2" t="s">
        <v>328</v>
      </c>
      <c r="B20" s="2"/>
      <c r="C20" s="2"/>
      <c r="D20" s="51">
        <f>SUM(D15:D19)</f>
        <v>52</v>
      </c>
      <c r="E20" s="32" t="s">
        <v>329</v>
      </c>
      <c r="F20" s="45"/>
      <c r="G20" s="45"/>
      <c r="H20" s="45"/>
    </row>
  </sheetData>
  <mergeCells count="5">
    <mergeCell ref="A1:H1"/>
    <mergeCell ref="A3:H3"/>
    <mergeCell ref="A11:C11"/>
    <mergeCell ref="A13:H13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Hechos y Dimensiones</vt:lpstr>
      <vt:lpstr>2. Actividades y Estimación</vt:lpstr>
      <vt:lpstr>3. Cronograma</vt:lpstr>
      <vt:lpstr>4. BD Transaccional y Stage</vt:lpstr>
      <vt:lpstr>5. Recursos y Tiempo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Pablo</cp:lastModifiedBy>
  <cp:revision>0</cp:revision>
  <dcterms:created xsi:type="dcterms:W3CDTF">2026-05-29T20:02:18Z</dcterms:created>
  <dcterms:modified xsi:type="dcterms:W3CDTF">2026-05-31T07:07:54Z</dcterms:modified>
  <dc:language>en-US</dc:language>
</cp:coreProperties>
</file>